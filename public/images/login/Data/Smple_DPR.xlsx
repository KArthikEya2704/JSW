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8_{F25AD7D2-39D3-4CF1-A769-2F4E722DC4E3}" xr6:coauthVersionLast="47" xr6:coauthVersionMax="47" xr10:uidLastSave="{00000000-0000-0000-0000-000000000000}"/>
  <bookViews>
    <workbookView xWindow="-120" yWindow="-120" windowWidth="29040" windowHeight="16440" xr2:uid="{363EC6AC-C92F-4F61-BA2E-93029723C8A0}"/>
  </bookViews>
  <sheets>
    <sheet name="F&amp;B 23.09.2025" sheetId="91" r:id="rId1"/>
    <sheet name="Township Maintenancwe23.09.2025" sheetId="90" r:id="rId2"/>
    <sheet name="Township Facility" sheetId="92" r:id="rId3"/>
    <sheet name="Horticulture" sheetId="93" r:id="rId4"/>
    <sheet name="Plant Admin Summary" sheetId="94" r:id="rId5"/>
    <sheet name="Road &amp; Drain " sheetId="95" r:id="rId6"/>
    <sheet name="Employee Mobility" sheetId="9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93" l="1"/>
  <c r="C5" i="93"/>
  <c r="Y17" i="96"/>
  <c r="Y16" i="96"/>
  <c r="Y15" i="96"/>
  <c r="Y14" i="96"/>
  <c r="Y12" i="96"/>
  <c r="Y11" i="96"/>
  <c r="Y10" i="96"/>
  <c r="Y9" i="96"/>
  <c r="Y8" i="96"/>
  <c r="Y7" i="96"/>
  <c r="Y6" i="96"/>
  <c r="Y5" i="96"/>
  <c r="Y4" i="96"/>
  <c r="H43" i="95" l="1"/>
  <c r="H41" i="95"/>
  <c r="H40" i="95"/>
  <c r="H39" i="95"/>
  <c r="H38" i="95"/>
  <c r="H35" i="95"/>
  <c r="H33" i="95"/>
  <c r="H32" i="95"/>
  <c r="H30" i="95"/>
  <c r="H29" i="95"/>
  <c r="H28" i="95"/>
  <c r="H27" i="95"/>
  <c r="K26" i="95"/>
  <c r="H26" i="95"/>
  <c r="K25" i="95"/>
  <c r="H25" i="95"/>
  <c r="K24" i="95"/>
  <c r="H24" i="95"/>
  <c r="H22" i="95"/>
  <c r="H21" i="95"/>
  <c r="H18" i="95"/>
  <c r="H17" i="95"/>
  <c r="H16" i="95"/>
  <c r="K14" i="95"/>
  <c r="H14" i="95"/>
  <c r="H12" i="95"/>
  <c r="H11" i="95"/>
  <c r="H10" i="95"/>
  <c r="H9" i="95"/>
  <c r="K7" i="95"/>
  <c r="H7" i="95"/>
  <c r="K6" i="95"/>
  <c r="H6" i="95"/>
  <c r="K5" i="95"/>
  <c r="H5" i="95"/>
  <c r="AG13" i="94" l="1"/>
  <c r="AF13" i="94"/>
  <c r="AE13" i="94"/>
  <c r="AD13" i="94"/>
  <c r="AB13" i="94"/>
  <c r="Z13" i="94"/>
  <c r="Y13" i="94"/>
  <c r="X13" i="94"/>
  <c r="W13" i="94"/>
  <c r="U13" i="94"/>
  <c r="S13" i="94"/>
  <c r="R13" i="94"/>
  <c r="Q13" i="94"/>
  <c r="J13" i="94"/>
  <c r="H13" i="94"/>
  <c r="G13" i="94"/>
  <c r="F13" i="94"/>
  <c r="D13" i="94"/>
  <c r="P10" i="94"/>
  <c r="P9" i="94"/>
  <c r="P8" i="94"/>
  <c r="P7" i="94"/>
  <c r="P6" i="94"/>
  <c r="P5" i="94"/>
  <c r="P4" i="94"/>
  <c r="P13" i="94" s="1"/>
  <c r="G57" i="91"/>
  <c r="H78" i="91"/>
  <c r="F4" i="90" l="1"/>
  <c r="E5" i="90"/>
  <c r="F5" i="90" s="1"/>
  <c r="G5" i="90"/>
  <c r="G9" i="90" s="1"/>
  <c r="F7" i="90"/>
  <c r="E8" i="90"/>
  <c r="F8" i="90" s="1"/>
  <c r="C9" i="90"/>
  <c r="E9" i="90"/>
  <c r="F11" i="90"/>
  <c r="F13" i="90"/>
  <c r="F9" i="90" l="1"/>
</calcChain>
</file>

<file path=xl/sharedStrings.xml><?xml version="1.0" encoding="utf-8"?>
<sst xmlns="http://schemas.openxmlformats.org/spreadsheetml/2006/main" count="828" uniqueCount="563">
  <si>
    <t>Actual</t>
  </si>
  <si>
    <t>Present</t>
  </si>
  <si>
    <t>Total</t>
  </si>
  <si>
    <t xml:space="preserve">Total no. of On Roll Employees </t>
  </si>
  <si>
    <t xml:space="preserve">Total no. of On Associate Employees </t>
  </si>
  <si>
    <t>Sparkal</t>
  </si>
  <si>
    <t>JBC</t>
  </si>
  <si>
    <t xml:space="preserve">Any Other Activity </t>
  </si>
  <si>
    <t>S.n.</t>
  </si>
  <si>
    <t xml:space="preserve">Details </t>
  </si>
  <si>
    <t xml:space="preserve">Total no. of out Sourced Employees </t>
  </si>
  <si>
    <t>Manpower Details</t>
  </si>
  <si>
    <t>(i)</t>
  </si>
  <si>
    <t>(ii)</t>
  </si>
  <si>
    <t>(iii)</t>
  </si>
  <si>
    <t>JBN</t>
  </si>
  <si>
    <t>Rashmi Hospitality Pvt. Ltd.</t>
  </si>
  <si>
    <t>Rashmi Hospitality</t>
  </si>
  <si>
    <t>Infinzy</t>
  </si>
  <si>
    <t>Guest House Occupancy</t>
  </si>
  <si>
    <t>No. of Rooms</t>
  </si>
  <si>
    <t>No. of Rooms Occupied</t>
  </si>
  <si>
    <t>IB River Guest House</t>
  </si>
  <si>
    <t>New GET Guest House</t>
  </si>
  <si>
    <t xml:space="preserve">Meal Report </t>
  </si>
  <si>
    <t>Break Fast</t>
  </si>
  <si>
    <t xml:space="preserve">Lunch </t>
  </si>
  <si>
    <t>Dinner</t>
  </si>
  <si>
    <t>Snacks</t>
  </si>
  <si>
    <t>Lemon Water</t>
  </si>
  <si>
    <t>Tea</t>
  </si>
  <si>
    <t xml:space="preserve">Biscuits </t>
  </si>
  <si>
    <t>Meal Report</t>
  </si>
  <si>
    <t>Lunch</t>
  </si>
  <si>
    <t xml:space="preserve">Dinner </t>
  </si>
  <si>
    <t>Parcel</t>
  </si>
  <si>
    <t>V.I.P</t>
  </si>
  <si>
    <t>V.I.P MAIL</t>
  </si>
  <si>
    <t>NG V.I.P</t>
  </si>
  <si>
    <t>NG V.I.P MAIL</t>
  </si>
  <si>
    <t xml:space="preserve">GET </t>
  </si>
  <si>
    <t>GET MAIL</t>
  </si>
  <si>
    <t xml:space="preserve">NEW GET </t>
  </si>
  <si>
    <t>EH 4/5</t>
  </si>
  <si>
    <t>EH 2/3</t>
  </si>
  <si>
    <t>WRM</t>
  </si>
  <si>
    <t>CRM</t>
  </si>
  <si>
    <t>CSP</t>
  </si>
  <si>
    <t>PELLET</t>
  </si>
  <si>
    <t>DISPATCH</t>
  </si>
  <si>
    <t>KILN</t>
  </si>
  <si>
    <t>SMS 1</t>
  </si>
  <si>
    <t>SMS-2</t>
  </si>
  <si>
    <t>GATE NO-2</t>
  </si>
  <si>
    <t xml:space="preserve">POWER PLANT </t>
  </si>
  <si>
    <t>TEA / BISC ( C SHIFT)</t>
  </si>
  <si>
    <t xml:space="preserve">TOTAL </t>
  </si>
  <si>
    <t>New GET Evening Snacks Details</t>
  </si>
  <si>
    <t>Item</t>
  </si>
  <si>
    <t>Quantity</t>
  </si>
  <si>
    <t>Rate</t>
  </si>
  <si>
    <t>Veg Sandwich</t>
  </si>
  <si>
    <t xml:space="preserve"> </t>
  </si>
  <si>
    <t>Masala Omlet</t>
  </si>
  <si>
    <t>Egg Bhurji</t>
  </si>
  <si>
    <t>Masala Maggi</t>
  </si>
  <si>
    <t>Plain Maggi</t>
  </si>
  <si>
    <t>Kulhad Tea</t>
  </si>
  <si>
    <t>Kulhad Coffee</t>
  </si>
  <si>
    <t>Hot Snacks</t>
  </si>
  <si>
    <t>Vehicle Movement (Kms.)</t>
  </si>
  <si>
    <t>Shift A</t>
  </si>
  <si>
    <t>Shift G</t>
  </si>
  <si>
    <t>Shift B</t>
  </si>
  <si>
    <t>Shift C</t>
  </si>
  <si>
    <t>Total Kms</t>
  </si>
  <si>
    <t>Vehicle No</t>
  </si>
  <si>
    <t>OD 15AA 3528 (Innova Hybrid)</t>
  </si>
  <si>
    <t>OD 15AA 9304 (MG-EV)</t>
  </si>
  <si>
    <t>OD 15AA 9398 (MG-EV)</t>
  </si>
  <si>
    <t>OD 15AA 9273 (MG-EV)</t>
  </si>
  <si>
    <t>OD 15AA 9346 (MG-EV)</t>
  </si>
  <si>
    <t>OD 15AA 9203 (MG-EV)</t>
  </si>
  <si>
    <t>OD 15AA 9148 (MG-EV)</t>
  </si>
  <si>
    <t>OD 15AA 9147 (MG-EV)</t>
  </si>
  <si>
    <t>OD 15AA 9357 (MG-EV)</t>
  </si>
  <si>
    <t>OD 15AB 1797 (MG-EV)</t>
  </si>
  <si>
    <t>OD 15U 1808 (Honda City)</t>
  </si>
  <si>
    <t>OD 15U 1866 (Honda City)</t>
  </si>
  <si>
    <t>OD 15U 3528 (Toyota Innova)</t>
  </si>
  <si>
    <t>OD 15A 9313 (Pick up)</t>
  </si>
  <si>
    <t>OD 15C 2235 (Pick up)</t>
  </si>
  <si>
    <t>OD 15Q 9629 (Bolero)</t>
  </si>
  <si>
    <t>Total Running for the Day</t>
  </si>
  <si>
    <t>Sl. No.</t>
  </si>
  <si>
    <t>OFF / Leave / Absent</t>
  </si>
  <si>
    <t>Approve GT</t>
  </si>
  <si>
    <t>MBC</t>
  </si>
  <si>
    <t>As per PO</t>
  </si>
  <si>
    <t>Maa Sarala</t>
  </si>
  <si>
    <t xml:space="preserve">Total no. of On Roll and  out Sourced Employees </t>
  </si>
  <si>
    <t>AMC</t>
  </si>
  <si>
    <t>Global Elevator (Phase - II)</t>
  </si>
  <si>
    <t>PO No.</t>
  </si>
  <si>
    <t>Work Description</t>
  </si>
  <si>
    <t>PO (Qty)</t>
  </si>
  <si>
    <t>Previous Cumulative Qty.</t>
  </si>
  <si>
    <t>Today Achieved Qty.</t>
  </si>
  <si>
    <t>Pappi Devi</t>
  </si>
  <si>
    <t>Interior Wall Paint</t>
  </si>
  <si>
    <r>
      <t>5000 M</t>
    </r>
    <r>
      <rPr>
        <vertAlign val="superscript"/>
        <sz val="11"/>
        <color rgb="FF000000"/>
        <rFont val="Aptos Narrow"/>
        <family val="2"/>
      </rPr>
      <t>2</t>
    </r>
  </si>
  <si>
    <t>Exterior Wall Paint</t>
  </si>
  <si>
    <r>
      <t>500  M</t>
    </r>
    <r>
      <rPr>
        <vertAlign val="superscript"/>
        <sz val="11"/>
        <color rgb="FF000000"/>
        <rFont val="Aptos Narrow"/>
        <family val="2"/>
      </rPr>
      <t>2</t>
    </r>
  </si>
  <si>
    <t>Wall Putty</t>
  </si>
  <si>
    <t>Manoj Enterprises</t>
  </si>
  <si>
    <r>
      <t>5000  M</t>
    </r>
    <r>
      <rPr>
        <vertAlign val="superscript"/>
        <sz val="11"/>
        <color rgb="FF000000"/>
        <rFont val="Aptos Narrow"/>
        <family val="2"/>
      </rPr>
      <t>2</t>
    </r>
  </si>
  <si>
    <t>Real Waterproofing System</t>
  </si>
  <si>
    <t>Pu Pressure Grouting And 0-10 Points At single Place</t>
  </si>
  <si>
    <t>1000 EA</t>
  </si>
  <si>
    <t>Cementitious Waterproofing</t>
  </si>
  <si>
    <r>
      <t>200 M</t>
    </r>
    <r>
      <rPr>
        <vertAlign val="superscript"/>
        <sz val="11"/>
        <color rgb="FF000000"/>
        <rFont val="Aptos Narrow"/>
        <family val="2"/>
      </rPr>
      <t>2</t>
    </r>
  </si>
  <si>
    <t>Epoxy In Tile Joint Filling</t>
  </si>
  <si>
    <r>
      <t>800 M</t>
    </r>
    <r>
      <rPr>
        <vertAlign val="superscript"/>
        <sz val="11"/>
        <color rgb="FF000000"/>
        <rFont val="Aptos Narrow"/>
        <family val="2"/>
      </rPr>
      <t>2</t>
    </r>
  </si>
  <si>
    <t>Dismantling Work Of Brick Bat Coba Or Screed Concrete  Or Tiles Flooring</t>
  </si>
  <si>
    <r>
      <t>300 M</t>
    </r>
    <r>
      <rPr>
        <vertAlign val="superscript"/>
        <sz val="11"/>
        <color rgb="FF000000"/>
        <rFont val="Aptos Narrow"/>
        <family val="2"/>
      </rPr>
      <t>2</t>
    </r>
  </si>
  <si>
    <t>Non Shrink Grouting</t>
  </si>
  <si>
    <t>50 EA</t>
  </si>
  <si>
    <t>Pu Pressure Grouting And 10-20 Points At Single Place</t>
  </si>
  <si>
    <t>Dr. Fixit Roof seal Classic Waterproofing Coating</t>
  </si>
  <si>
    <r>
      <t>150 M</t>
    </r>
    <r>
      <rPr>
        <vertAlign val="superscript"/>
        <sz val="11"/>
        <color rgb="FF000000"/>
        <rFont val="Aptos Narrow"/>
        <family val="2"/>
      </rPr>
      <t>2</t>
    </r>
  </si>
  <si>
    <t>Total Maintenance Job (My Gate Complain)</t>
  </si>
  <si>
    <t>Job No</t>
  </si>
  <si>
    <t>Complain Received from details</t>
  </si>
  <si>
    <t>Complain Completed Details</t>
  </si>
  <si>
    <t>Pending Details</t>
  </si>
  <si>
    <t>Feedback</t>
  </si>
  <si>
    <t>Civil Work</t>
  </si>
  <si>
    <t>Entrance grill painting work start at M3 building ground floor</t>
  </si>
  <si>
    <t>work in progress</t>
  </si>
  <si>
    <t>Vehicle parking painting near L &amp; M block</t>
  </si>
  <si>
    <t>Work stopped for certain time due to rain</t>
  </si>
  <si>
    <t>N &amp; O Block parking painting</t>
  </si>
  <si>
    <t>E3-701 Putty &amp; painting work</t>
  </si>
  <si>
    <t>Work in progress</t>
  </si>
  <si>
    <t>NEW GET D-914 Putty &amp; painting work</t>
  </si>
  <si>
    <t>A &amp; C Block no parking painting</t>
  </si>
  <si>
    <t xml:space="preserve">D-001 Putty &amp; painting </t>
  </si>
  <si>
    <t>E3-603  Kitchen sink repairing</t>
  </si>
  <si>
    <t>Very Good</t>
  </si>
  <si>
    <t>Total =</t>
  </si>
  <si>
    <t>Plumbing Work</t>
  </si>
  <si>
    <t>Seepage Work</t>
  </si>
  <si>
    <t>E2-701 Balcony ceiling seepage</t>
  </si>
  <si>
    <t>Work will start as soon as possible</t>
  </si>
  <si>
    <t>E2-804 Hall ceiling seepage</t>
  </si>
  <si>
    <t>Work under progress</t>
  </si>
  <si>
    <t>IB Basement floor seepage</t>
  </si>
  <si>
    <t>(iv)</t>
  </si>
  <si>
    <t>Carpentry Work</t>
  </si>
  <si>
    <t>Outstanding</t>
  </si>
  <si>
    <t>(v)</t>
  </si>
  <si>
    <t>Electrical Work</t>
  </si>
  <si>
    <t>very Good</t>
  </si>
  <si>
    <t>Carpentry</t>
  </si>
  <si>
    <t>Civil</t>
  </si>
  <si>
    <t>G-603(Vacant room) Bedroom wall seepage</t>
  </si>
  <si>
    <t>O-601 Bedroom wall seepage</t>
  </si>
  <si>
    <t>C-203(Vacant room) Both bathroom wall tiles fixing</t>
  </si>
  <si>
    <t>Samaleswari Construction</t>
  </si>
  <si>
    <t>VIP Guest House</t>
  </si>
  <si>
    <t>NEW GET CF-102(Vacant room) Full flat painting</t>
  </si>
  <si>
    <t>H-604 Putty &amp; painting</t>
  </si>
  <si>
    <t>EH3-72 Kitchen &amp; balcony ceiling seepage</t>
  </si>
  <si>
    <t>M3-501-Maintenance work under progress (Vacant room)</t>
  </si>
  <si>
    <t>J-202 Bedroom wall seepage</t>
  </si>
  <si>
    <t>New Get 11th floor 13 nos room Almirah completed &amp; 01 nos under progress</t>
  </si>
  <si>
    <t>E3-302 Bedroom hall wall seepage</t>
  </si>
  <si>
    <t>M3-604(Vacant room) Full flat painting</t>
  </si>
  <si>
    <t>J-702 Bedroom wall seepage</t>
  </si>
  <si>
    <t>New installed</t>
  </si>
  <si>
    <t>M2-001 Hall wall seepage</t>
  </si>
  <si>
    <t>K-502 Hall wall seepage</t>
  </si>
  <si>
    <t>E1-607 Bedroom ceiling seepage</t>
  </si>
  <si>
    <t>Tea/Coffee</t>
  </si>
  <si>
    <t>NEDW GET A-406 Bedroom ceiling seepage</t>
  </si>
  <si>
    <t>M2-405 Bathroom ceiling seepage</t>
  </si>
  <si>
    <t>E3-704 Bedroom wall seepage</t>
  </si>
  <si>
    <t>O-704 Bedroom ceiling seepage</t>
  </si>
  <si>
    <t>NEW GET A-234 Bathroom ceiling seepage</t>
  </si>
  <si>
    <t>E2-008 Balcony ceiling seepage</t>
  </si>
  <si>
    <t>NEW GET DF-801 Bathroom ceiling seepage</t>
  </si>
  <si>
    <t>Balcony door repair</t>
  </si>
  <si>
    <t>Kitchen door hinges repair</t>
  </si>
  <si>
    <t>Door repair</t>
  </si>
  <si>
    <t>Shifting of light poles and associated works at Central Ground.</t>
  </si>
  <si>
    <t>E-206--Maintenance work under progress (Vacant room)</t>
  </si>
  <si>
    <t>L-001-Sofa work under progress(Vacant Room)</t>
  </si>
  <si>
    <t>C-203-Maintenance work under progress (Vacant room)</t>
  </si>
  <si>
    <t>Temple curtain stitching work under progress.</t>
  </si>
  <si>
    <t>Light fitting</t>
  </si>
  <si>
    <t xml:space="preserve">Central ground </t>
  </si>
  <si>
    <t>Fan regulator,6A switch, change</t>
  </si>
  <si>
    <t>New get-D-418</t>
  </si>
  <si>
    <t>Bed room supply problem</t>
  </si>
  <si>
    <t>New get-D-508</t>
  </si>
  <si>
    <t>New Almirah lock installed</t>
  </si>
  <si>
    <t>New Get D-1114-Almirah lock issue</t>
  </si>
  <si>
    <t>Utensil stand fixed</t>
  </si>
  <si>
    <t>FU6-604-Utensil stand fixed</t>
  </si>
  <si>
    <t>New Lock installed</t>
  </si>
  <si>
    <t>DF-501-Cupboard lock not working</t>
  </si>
  <si>
    <t>Out Standing</t>
  </si>
  <si>
    <t>CF-305-Kitchen door hinges loose</t>
  </si>
  <si>
    <t>Wire mesh fixed</t>
  </si>
  <si>
    <t>FU7-602-Wire nesh need to be fixed at balcony</t>
  </si>
  <si>
    <t>Door lock repair</t>
  </si>
  <si>
    <t>E1-508-Door lock issue</t>
  </si>
  <si>
    <t>J-604-Bed Room door jam</t>
  </si>
  <si>
    <t>Hange &amp; photo frame fixed</t>
  </si>
  <si>
    <t>M1-501-Hanger &amp; photo frame need to be fixed</t>
  </si>
  <si>
    <t>Kitchen drawer repair</t>
  </si>
  <si>
    <t>M3-202-Kitchen drawer issue</t>
  </si>
  <si>
    <t>Almirah door hinges repair</t>
  </si>
  <si>
    <t>FU5-004-Almirah door hinges loose</t>
  </si>
  <si>
    <t>Main door repair</t>
  </si>
  <si>
    <t>FU7-503-Main door lock issue</t>
  </si>
  <si>
    <t>M1-205-Door jam</t>
  </si>
  <si>
    <t>NEW GET DF-601 Bedroom ceiling seepage</t>
  </si>
  <si>
    <t>NEW GET A-432 Bedroom ceiling seepage</t>
  </si>
  <si>
    <t xml:space="preserve">FU7-104Bathroom ceiling seepage </t>
  </si>
  <si>
    <t>FU1-004 Balcony shaft wall seepage</t>
  </si>
  <si>
    <t>M1-604 Hall wall seepage</t>
  </si>
  <si>
    <t>M1-803 Toilet window site seepage</t>
  </si>
  <si>
    <t>J-302 Master bedroom ceiling seepage</t>
  </si>
  <si>
    <t>E3-601 Kitchen sink cock damage</t>
  </si>
  <si>
    <t>FU1-005 Kitchen sink waste coupling damage</t>
  </si>
  <si>
    <t>Temple lord Vishwakarma stage marble work</t>
  </si>
  <si>
    <t>M/s. Kanha Enterprises</t>
  </si>
  <si>
    <t xml:space="preserve">    Township Maintenance Department - Daily Report                                                                                                                                                                                                              Date : 23/09/2025</t>
  </si>
  <si>
    <t>4</t>
  </si>
  <si>
    <t>10/29</t>
  </si>
  <si>
    <t xml:space="preserve">    Township Guest House,Canteen and Vehicle  - Daily Report                                                          Date : 23.09.2025</t>
  </si>
  <si>
    <t xml:space="preserve">                Plant Admin Department - Daily Report                                                               Date : 23.09.2025</t>
  </si>
  <si>
    <t>Srl.no.</t>
  </si>
  <si>
    <t>Particulars</t>
  </si>
  <si>
    <t>Type</t>
  </si>
  <si>
    <t>Plant Admin Gen Maintenance/Washroom Cleaning/HK/PC</t>
  </si>
  <si>
    <t>Road &amp; Drain</t>
  </si>
  <si>
    <t>Employee Mobility</t>
  </si>
  <si>
    <t>Worker Colonies</t>
  </si>
  <si>
    <t>Manpower Breakup</t>
  </si>
  <si>
    <t>W/O</t>
  </si>
  <si>
    <t>Leave</t>
  </si>
  <si>
    <t>GT Approved manpower</t>
  </si>
  <si>
    <t>A</t>
  </si>
  <si>
    <t>G</t>
  </si>
  <si>
    <t>B</t>
  </si>
  <si>
    <t>C</t>
  </si>
  <si>
    <t>Absent</t>
  </si>
  <si>
    <t xml:space="preserve">Absent </t>
  </si>
  <si>
    <t xml:space="preserve">Leave </t>
  </si>
  <si>
    <t>JSWBPSL</t>
  </si>
  <si>
    <t>6 nos</t>
  </si>
  <si>
    <t>JSWBPSL-3 nos</t>
  </si>
  <si>
    <t>3Nos</t>
  </si>
  <si>
    <t>JSWBPSL- 1 nos</t>
  </si>
  <si>
    <t>1 NOS</t>
  </si>
  <si>
    <t>Firm</t>
  </si>
  <si>
    <t>ITPS</t>
  </si>
  <si>
    <t>60 NOS</t>
  </si>
  <si>
    <t>RTS-10 nos/ ITPS-1 nos</t>
  </si>
  <si>
    <t>76 nos</t>
  </si>
  <si>
    <t>RTS-23/             ITPS-2</t>
  </si>
  <si>
    <t>79NOS</t>
  </si>
  <si>
    <t>RTS- 1 nos &amp; TTPS-1 nos</t>
  </si>
  <si>
    <t>29 nos</t>
  </si>
  <si>
    <t xml:space="preserve">Total no. ot out Sourced </t>
  </si>
  <si>
    <t>MBC/JBN</t>
  </si>
  <si>
    <t>Sparkal Service</t>
  </si>
  <si>
    <t>AJ Enterprises</t>
  </si>
  <si>
    <t xml:space="preserve">Infinizy Solution </t>
  </si>
  <si>
    <t>A.J Ent</t>
  </si>
  <si>
    <t>Jahangir Hossain</t>
  </si>
  <si>
    <t>Sandeepa HR Services</t>
  </si>
  <si>
    <t>Annapurna Construction.</t>
  </si>
  <si>
    <t>Annapurna Connstruction</t>
  </si>
  <si>
    <t>Aarohi Enterprises</t>
  </si>
  <si>
    <t>Infinizy Solution</t>
  </si>
  <si>
    <t>Shyam Traders</t>
  </si>
  <si>
    <t>Legent-2 nos</t>
  </si>
  <si>
    <t>Legend Senicure</t>
  </si>
  <si>
    <t>Manpower Total</t>
  </si>
  <si>
    <t xml:space="preserve">Total no of equipment </t>
  </si>
  <si>
    <t>Company Owned</t>
  </si>
  <si>
    <t>1 Breakdown</t>
  </si>
  <si>
    <t>Drinking water supply in nearby villages, worker colonies, 700 acres land, Thelkoloi, Lapanga on daily basis in A &amp; B Shifts.</t>
  </si>
  <si>
    <t>Outsourced</t>
  </si>
  <si>
    <t xml:space="preserve">Total no of  Vehicles </t>
  </si>
  <si>
    <t>9 Buses for Schools (St Mary's Primary - 2; Higher Secondary -2; Little Flower &amp; Joyland School - 1; DAV Public School - 3; Doon Public School - 1)
3 School Buses (Aparna World School, Ghansyam Hemlata Vidya Mandir, St Thomas School)                                                                             1 MNP Mobility
1 (40+1Seater)
1 Gudia tempo traveller (Plaza Road/Railway Station)
20 Gudia (Jharsuguda,Brajrajnagar,Sambalpur)
14 Company Owned Buses</t>
  </si>
  <si>
    <t xml:space="preserve">Deatails of Utilization of equipment  
                                            </t>
  </si>
  <si>
    <t>Camphor</t>
  </si>
  <si>
    <t xml:space="preserve">Shifting of material general maintenance and Banjiberna,Sirpura colony maintenance &amp; routine visit.
</t>
  </si>
  <si>
    <t>NA</t>
  </si>
  <si>
    <t>Road Sweeper</t>
  </si>
  <si>
    <t xml:space="preserve">GATE NO-2,GATE NO-3,GATE NO-4,PLAZA GATE TO SMS-1,LOCOSHADE TO RAILWAY GATE,WRM,TUBE MILL,SMS-1,SMS-2,LIME PLANT,ASH ROAD,FIRE &amp; SAFETY OFFICE ROAD ,TRANSPORT,SH-10,WAGON TIPPLER,COAL WASHARY,MATERIAL ROAD,RMPP,RMHS ETC </t>
  </si>
  <si>
    <t>Hiwa</t>
  </si>
  <si>
    <t>PLANT AREA STEEL &amp; IRON BOTH SIDE GARBAGE COLLECTION, CANTEEN, TOWNSHIP GARBAGE COLLECTION ETC.</t>
  </si>
  <si>
    <t>JCB</t>
  </si>
  <si>
    <t xml:space="preserve">PLANT AREA ALL MAIN DRAIN &amp; CULVERT CLEANING ROAD CLEANING ETC OTHER WORK </t>
  </si>
  <si>
    <t>Tractor</t>
  </si>
  <si>
    <t>ROAD DUST LOADING DRAIN MUCK LOADING WORKER COLONY GARBAGE COLLECTION…</t>
  </si>
  <si>
    <t>Cesspool</t>
  </si>
  <si>
    <t>PLANT AREA SEPTIC TANK CLEANING TOTAL 66+68 TANK &amp; WORKER COLONY SEPTIC TANK CLEANING &amp; NEAR BY VILLAGE SEPTIC TANK CLEANING ON REQUEST BASIS</t>
  </si>
  <si>
    <t>Farana</t>
  </si>
  <si>
    <t>Water Tanker</t>
  </si>
  <si>
    <t>Drinking water supply nearby village,worker colonies,700acre,Thelkoloi,Lapanga on daily basis.(Working in A&amp;B)</t>
  </si>
  <si>
    <t xml:space="preserve">Details of Utilization of Vehicles                                             </t>
  </si>
  <si>
    <t>Buses</t>
  </si>
  <si>
    <t>09 School Buses (St Merry,Primary-2nos/Higher-2nos, school,Little flower&amp;Joylant-1nos,DAV Public-3nos,Doon Public -1nos
03 Aparna, Ghansyam, St Thomas Managed by School,
01 MNP
01 (40+1Seater),
01-Gudia tempo traveller (Plaza road/station)
20- Gudia (Jharsuguda,Brajrajnagar,Sambalpur
14-Owned buses-Internal shift transporation</t>
  </si>
  <si>
    <t>Bolero</t>
  </si>
  <si>
    <t xml:space="preserve">PLANT ADMIN VEHICLES DAILY MOVEMENT REPORT </t>
  </si>
  <si>
    <t>Date:23.09.2025</t>
  </si>
  <si>
    <t>Sr.No</t>
  </si>
  <si>
    <t>Vehicle Name</t>
  </si>
  <si>
    <t>Shift</t>
  </si>
  <si>
    <t>Time (From)</t>
  </si>
  <si>
    <t>Time (To)</t>
  </si>
  <si>
    <t>Starting Mtr.</t>
  </si>
  <si>
    <t>Closing Mtr.</t>
  </si>
  <si>
    <t>Total K.M.</t>
  </si>
  <si>
    <t>Starting Hrs</t>
  </si>
  <si>
    <t>Closing Hrs</t>
  </si>
  <si>
    <t>Total Hrs.</t>
  </si>
  <si>
    <t>Diesel Issue in Ltr</t>
  </si>
  <si>
    <t>Work Location</t>
  </si>
  <si>
    <t>Driver Name</t>
  </si>
  <si>
    <t>Shift- A (Time- 06:00 AM to 02:00 PM)</t>
  </si>
  <si>
    <t>Road Sweeper Door No-06</t>
  </si>
  <si>
    <t>A-R</t>
  </si>
  <si>
    <t>GATE NO-4/LOCOSHADE TO RAILWAY GATE</t>
  </si>
  <si>
    <t>SURATHA CH SAHU</t>
  </si>
  <si>
    <t>Road Sweeper Door No-09</t>
  </si>
  <si>
    <t xml:space="preserve">BRUSH WHEEL RUBBER PROBLEM/HYDROLIC OIL LEAKAGE PROBLEM  </t>
  </si>
  <si>
    <t>RANJIT KALO</t>
  </si>
  <si>
    <t>Road Sweeper Door No-10</t>
  </si>
  <si>
    <t>GATE NO-2/PLAZA GATE TO LIME PLANT</t>
  </si>
  <si>
    <t>APARTI JENA</t>
  </si>
  <si>
    <t>Starting Hrs.Mtr.</t>
  </si>
  <si>
    <t>Closing Hrs. Mtr.</t>
  </si>
  <si>
    <t>JCB-12</t>
  </si>
  <si>
    <t xml:space="preserve">DUMPING ROAD/COKE OVEN-1/SMS-2 &amp; RAILWAY GATE ROAD CLEANING WORK </t>
  </si>
  <si>
    <t>RAMESH CH PRAJAPATI</t>
  </si>
  <si>
    <t>JCB-19</t>
  </si>
  <si>
    <t xml:space="preserve">WRM DUMPING ROAD CLEANING/PLANT ADMIN SOIL LOADING WORK </t>
  </si>
  <si>
    <t>MANOJ DEHURY</t>
  </si>
  <si>
    <t>Tractor-25</t>
  </si>
  <si>
    <t>MATERIAL ROAD DUST &amp; PLAZA NEAR BF-1 DRAIN MUCK TOTAL: 3 TRIPS</t>
  </si>
  <si>
    <t>SANJAY RAY</t>
  </si>
  <si>
    <t>Tractor-27</t>
  </si>
  <si>
    <t>COKE OVEN-1 &amp; RAILWAY GATE ROAD DUST TOTAL:5 TRIPS</t>
  </si>
  <si>
    <t>ANAND MIRDHA</t>
  </si>
  <si>
    <t>Shift- B (Time- 02:00 PM to 10:00 PM)</t>
  </si>
  <si>
    <t>B-R</t>
  </si>
  <si>
    <t>SMS-1 TO LIME PLANT(3.30 PM TO 10 PM NO WORK DUE TO RAIN)</t>
  </si>
  <si>
    <t>SUNIL SAHU</t>
  </si>
  <si>
    <t xml:space="preserve">COKE OVEN-1/LOCO SHED/PCM ROAD CLEANING WORK </t>
  </si>
  <si>
    <t xml:space="preserve">SURENDRA BISWAL </t>
  </si>
  <si>
    <t xml:space="preserve">WRM ROAD CLEANING &amp; CRM-2 GARBAGE LOADING &amp; PLANT AREA CULVERT  BLOCKAGE CHECK IN </t>
  </si>
  <si>
    <t>WALLI KUMAR TUNGA</t>
  </si>
  <si>
    <t>TRACTOR-26</t>
  </si>
  <si>
    <t>COKE OVEN/PCM/LOCO SHED ROAD DUST TOTAL: 4 TRIPS</t>
  </si>
  <si>
    <t>JAYANTA MAJHI</t>
  </si>
  <si>
    <t>Shift- C (Time- 10:00 PM to 06:00 AM)</t>
  </si>
  <si>
    <t>C-R</t>
  </si>
  <si>
    <t xml:space="preserve">2X8 DRAIN/PCM CULVERT/MATERIAL ROAD CULVERT CLEANING WORK </t>
  </si>
  <si>
    <t>PRAKASH MAHATO</t>
  </si>
  <si>
    <t>TRACTOR-25</t>
  </si>
  <si>
    <t>2X8 DRAIN MUCK TOTAL: 2 TRIPS</t>
  </si>
  <si>
    <t>AJAY BAGH</t>
  </si>
  <si>
    <t>Shift- G-R (Time- 09:00 AM to 06:00 PM)</t>
  </si>
  <si>
    <t>Road Sweeper Door No-03</t>
  </si>
  <si>
    <t>G-R</t>
  </si>
  <si>
    <t>VEHICLE IN TRANSPORT</t>
  </si>
  <si>
    <t>Road Sweeper Door No-04</t>
  </si>
  <si>
    <t>LIME PLANT TO LOCOSHADE/RMPP(3 PM TO 6 PM NO WORK DUE TO RAIN)</t>
  </si>
  <si>
    <t>ANIL SAHU</t>
  </si>
  <si>
    <t>Road Sweeper Door No-05</t>
  </si>
  <si>
    <t>BRUSH WHEEL RUBBER PROBLEM-9.30 AM TO 5 PM</t>
  </si>
  <si>
    <t>Cess Pool-3</t>
  </si>
  <si>
    <t>DRI 1-2(TOILET NO-128) 9 AM TO 4.45 PM BREAKDOWN PRESSURE LEAKAGE PROBLEM</t>
  </si>
  <si>
    <t>SURESH SINGH</t>
  </si>
  <si>
    <t>Cess Pool-4</t>
  </si>
  <si>
    <t>WRM-2(TOILET NO-222) &amp; SMS-1(TOILET NO-89) TOTAL: 5 TRIPS</t>
  </si>
  <si>
    <t>RAJ KUMAR</t>
  </si>
  <si>
    <t>Hywa-101</t>
  </si>
  <si>
    <t>DRIVER WEEKLY OFF</t>
  </si>
  <si>
    <t>HYWA-154</t>
  </si>
  <si>
    <t xml:space="preserve">GATE NO-2 CANTEEN/TRANSPORT/OLD HR/CSP CANTEEN/CSP COIL YARD/CSP A/C &amp; VENTILATION/CRM CANTEEN/CRM ARP/HYDROGEN PLANT/WRM-1 QC FRONT SIDE/BLAST FURNACE-1 STUCK HOUSE/BLAST FURNACE-2 PUMP HOUSE GARBAGE COLLECTION </t>
  </si>
  <si>
    <t>PRAKASH SAHU</t>
  </si>
  <si>
    <t>JCB-17</t>
  </si>
  <si>
    <t xml:space="preserve">PLAZA NEAR SMS-1 SIDE DRAIN CLENAING WORK &amp; 2X8 DRAIN CLEANING WORK </t>
  </si>
  <si>
    <t>GOURANGA PATRA</t>
  </si>
  <si>
    <t>TRACTOR-23</t>
  </si>
  <si>
    <t>MATERIAL ROAD DUST TOTAL:2 TRIPS</t>
  </si>
  <si>
    <t>SUBASH GARIA</t>
  </si>
  <si>
    <t>HIRING OF TRACTOR-ANNAPURNA CONSTRUCTIONS FOR HOUSEKEEPING WORK</t>
  </si>
  <si>
    <t>OD17M0109</t>
  </si>
  <si>
    <t>2X8 DRAIN &amp; PLAZA DRAIN MUCK TOTAL: 4 TRIPS</t>
  </si>
  <si>
    <t xml:space="preserve">DEBENDRA PRADHAN </t>
  </si>
  <si>
    <t>Monsoon preparation-Hiring of Tractors &amp; farana</t>
  </si>
  <si>
    <t>OD03T6461(Tractor)</t>
  </si>
  <si>
    <t>COKE OVEN- &amp; SMS-1 DRAIN MUCK TOTAL: 5 TRIPS</t>
  </si>
  <si>
    <t>SITARAM ROHI DAS</t>
  </si>
  <si>
    <t>OD23A2342(Tractor)</t>
  </si>
  <si>
    <t>COKE OVEN &amp; SMS-1 DRAIN MUCK TOTAL: 5 TRIPS</t>
  </si>
  <si>
    <t>DEEPAK ROHI DAS</t>
  </si>
  <si>
    <t>OD15W4722(Tractor)</t>
  </si>
  <si>
    <t>COKE OVEN&amp; SMS-1 DRAIN MUCK  TOTAL: 5 TRIPS</t>
  </si>
  <si>
    <t>ARUN SIKHA</t>
  </si>
  <si>
    <t>OD23M8201(Farana)</t>
  </si>
  <si>
    <t xml:space="preserve">PLAZA NEAR OXYGEN PLANT DRAIN SLAB REMOVING &amp; PLACE </t>
  </si>
  <si>
    <t>NITISH KUMAR</t>
  </si>
  <si>
    <t>Camphor OD 15W 8854</t>
  </si>
  <si>
    <t>TOWNSHIP (6 ROUNDS) GATE NO-4 (3 ROUNDS),Tube mill (2 ROUNDS),CSP (2 ROUND) Ash Gate(1 ROUND), Transport (1 ROUND), Central Store (1 ROUND)</t>
  </si>
  <si>
    <t>Uday Sa</t>
  </si>
  <si>
    <t>UTILIZATION REPORT COMPANY BUSES</t>
  </si>
  <si>
    <t>Date: - 23.09.2025</t>
  </si>
  <si>
    <t>Page: 01</t>
  </si>
  <si>
    <t>Page: 02</t>
  </si>
  <si>
    <t>Sr
No</t>
  </si>
  <si>
    <t>Vehicle
No</t>
  </si>
  <si>
    <t>A - Shift (In)
C Shift (Out)</t>
  </si>
  <si>
    <t>Labour Colony (In)
Banjiberna</t>
  </si>
  <si>
    <t>G - Shift (In)
Additional Trips From 
Plaza Gate</t>
  </si>
  <si>
    <t>Pre Lunch</t>
  </si>
  <si>
    <t>B - Shift (In)
A - Shift (Out)</t>
  </si>
  <si>
    <t>Post Lunch</t>
  </si>
  <si>
    <t>G - Shift (Out)</t>
  </si>
  <si>
    <t>C - Shift (In)
B - Shift (Out)</t>
  </si>
  <si>
    <t>Additional
Commitment</t>
  </si>
  <si>
    <t>Reference</t>
  </si>
  <si>
    <t>Vehicle
Refilling
Status</t>
  </si>
  <si>
    <t>Total
KM</t>
  </si>
  <si>
    <t xml:space="preserve"> KM</t>
  </si>
  <si>
    <t>Route</t>
  </si>
  <si>
    <t>OD15M
9829</t>
  </si>
  <si>
    <t xml:space="preserve">Parking To Township To WRM To  CRM-02 To Parking </t>
  </si>
  <si>
    <t xml:space="preserve">Parking To Township To WRM To  Parking </t>
  </si>
  <si>
    <t xml:space="preserve">Parking To WRM To Township </t>
  </si>
  <si>
    <t xml:space="preserve">Township  To WRM To CSP To CRM To Township </t>
  </si>
  <si>
    <t xml:space="preserve">Township To WRM To Parking </t>
  </si>
  <si>
    <t xml:space="preserve">Parking To WRM To   Township To Bike Parking </t>
  </si>
  <si>
    <t>20.09.2025 QTY(62 Ltr)</t>
  </si>
  <si>
    <t>OD15N
0151</t>
  </si>
  <si>
    <t xml:space="preserve">Parking To Gate No-03  To Pellet Plant To Gate No-03 To Parking </t>
  </si>
  <si>
    <t xml:space="preserve">Parking To 4/5 To Pellet Plant To Parking </t>
  </si>
  <si>
    <t>Breakdown For Diesel Filter Change</t>
  </si>
  <si>
    <t xml:space="preserve">Parking To Lime Kilan To Gate No-03 To Parking </t>
  </si>
  <si>
    <t xml:space="preserve">Parking To Gate No-03 To Pellet Plant To Gate No-03 To Parking </t>
  </si>
  <si>
    <t>23.09.2025 QTY(72 Ltr)</t>
  </si>
  <si>
    <t>OR15K
4008</t>
  </si>
  <si>
    <t xml:space="preserve">Parking To Gate No-03 To WRM To Gate No-03 To Parking </t>
  </si>
  <si>
    <t xml:space="preserve">Parking To Gate No-03 To WRM To Parking </t>
  </si>
  <si>
    <t xml:space="preserve">Parking To WRM To Gate No-03 To Parking </t>
  </si>
  <si>
    <t>17.09.2025 QTY(151 Ltr)</t>
  </si>
  <si>
    <t>OR15K
4010</t>
  </si>
  <si>
    <t xml:space="preserve">Parking To Gate No-03 To CRM-02 To Gate No-03 To Parking </t>
  </si>
  <si>
    <t xml:space="preserve">Parking To Gate No-03 To CRM-02 To Parking </t>
  </si>
  <si>
    <t xml:space="preserve">Parking To CRM-02 To Gate No-03 To Parking </t>
  </si>
  <si>
    <t>20.09.2025 QTY(82 Ltr)</t>
  </si>
  <si>
    <t>OD15A
5979</t>
  </si>
  <si>
    <t>Parking To Township To Gate No-03</t>
  </si>
  <si>
    <t xml:space="preserve">Gate No-03 To WRM To Gate No-03 To Parking </t>
  </si>
  <si>
    <t xml:space="preserve">Parking To WRM To Gate No-03 To Gate No-02 To Lapanga To Parking </t>
  </si>
  <si>
    <t>20.09.2025 QTY (34Ltr)</t>
  </si>
  <si>
    <t>OD15A
5980</t>
  </si>
  <si>
    <t xml:space="preserve">Parking To Gate No-03 To Pellet Plant To Gate No-03 </t>
  </si>
  <si>
    <t xml:space="preserve"> Gate No-03 To Banjiberna To Gate No-03</t>
  </si>
  <si>
    <t xml:space="preserve">Gate No-03 To Pellet Plant To Plaza To SMS-02 To Parking </t>
  </si>
  <si>
    <t>Parking To Township To gate No-03</t>
  </si>
  <si>
    <t xml:space="preserve">Gate No-03 To Pellet Plant To Gate No-03 To Parking </t>
  </si>
  <si>
    <t xml:space="preserve">Parking To Pellet Plant To Gate No-03 To  Parking </t>
  </si>
  <si>
    <t>22.09.2025 QTY (33 Ltr)</t>
  </si>
  <si>
    <t>OD15A
5981</t>
  </si>
  <si>
    <t>Parking To Sripura To Gate No-03 To W.Tipler To Sripura</t>
  </si>
  <si>
    <t xml:space="preserve">Sripura To Gate No-03 To W.Tipler To Parking </t>
  </si>
  <si>
    <t xml:space="preserve">Parking To Sripura To W.Tipler To  Sripura To Parking </t>
  </si>
  <si>
    <t xml:space="preserve">Parking To W.Tipler To   Sripura Colony </t>
  </si>
  <si>
    <t>17.09.2025 QTY (222 Ltr)</t>
  </si>
  <si>
    <t>OD15A
5982</t>
  </si>
  <si>
    <t xml:space="preserve">Parking To 4/5 To CRM To Parking </t>
  </si>
  <si>
    <t xml:space="preserve">Parking To CRM-02 To GET To Parking </t>
  </si>
  <si>
    <t xml:space="preserve">Parking To Gate No-03 To Pellet Plant To Gate No-03 To Parking To GET To CRM-02 To Parking </t>
  </si>
  <si>
    <t xml:space="preserve">Parking To CRM To GET To Parking </t>
  </si>
  <si>
    <t>20.09.2025 QTY (88 Ltr)</t>
  </si>
  <si>
    <t>OR15L
9573</t>
  </si>
  <si>
    <t xml:space="preserve">Parking To RLY Gate To Parking  To RLY Gate </t>
  </si>
  <si>
    <t xml:space="preserve">Parking To RLY Gate  To Plaza Gate To SMS-02 To Parking </t>
  </si>
  <si>
    <t xml:space="preserve">Parking To RLY Gate To Parking To RLY Gate To Parking </t>
  </si>
  <si>
    <t xml:space="preserve">Parking To RLY Gate To Parking </t>
  </si>
  <si>
    <t>18.09.2025 QTY(218 Ltr)</t>
  </si>
  <si>
    <t>OR15L
5627</t>
  </si>
  <si>
    <t>Denting Work , Colour Panting , Wiring Work For Fitness</t>
  </si>
  <si>
    <t>21.07.2025 QTY (208 Ltr)</t>
  </si>
  <si>
    <t>OD15F
9737</t>
  </si>
  <si>
    <t>Shuttle Services(Plaza To SMS-02)</t>
  </si>
  <si>
    <t>Plaza Gate To SMS-02 (Shuttle Services)</t>
  </si>
  <si>
    <t>Shuttle Duty (Plaza To SMS-02)</t>
  </si>
  <si>
    <t>23.09.2025 QTY (141 Ltr)</t>
  </si>
  <si>
    <t>OD15F
9738</t>
  </si>
  <si>
    <t xml:space="preserve">Parking To Township To Bike Parking To RMPP-01 To Bike Parking To Township To Parking </t>
  </si>
  <si>
    <t xml:space="preserve">Parking To Township To Bike Parking To RMPP To Parking </t>
  </si>
  <si>
    <t xml:space="preserve">Parking To RMPP-01 To Township </t>
  </si>
  <si>
    <t xml:space="preserve">Township To Bike Parking To RMPP-01 To Bike Parking To Township </t>
  </si>
  <si>
    <t xml:space="preserve">Parking To RMPP-01 To Township To Parking </t>
  </si>
  <si>
    <t>20.09.2025 QTY (74 Ltr)</t>
  </si>
  <si>
    <t>OR15S
8034</t>
  </si>
  <si>
    <t xml:space="preserve">Parking To 4/5 To Gate No-02 To RLY Gate  To Gate No-02 To 4/5 To  Parking </t>
  </si>
  <si>
    <t xml:space="preserve">Parking To 4/5 To Admin To Parking </t>
  </si>
  <si>
    <t xml:space="preserve">Parking To 4/5 To RLY Gate To 4/5 To Parking To 2/3 To CRM-02 To Parking Gate No-03 To Lime Kilan To Gate No-03 To Parking </t>
  </si>
  <si>
    <t xml:space="preserve">Parking To Pellet Plant To Gate No-03 To Parking </t>
  </si>
  <si>
    <t>22.09.2025 QTY(112 Ltr)</t>
  </si>
  <si>
    <t>OR15N
3916</t>
  </si>
  <si>
    <t>Shuttle Services (Plaza To CRM-02)</t>
  </si>
  <si>
    <t>Plaza To CRM-02 (Shuttle Duty)</t>
  </si>
  <si>
    <t>Parking To Plaza To CRM-02 (Shuttle Duty)</t>
  </si>
  <si>
    <t>16.09.2025 QTY (59 Ltr)</t>
  </si>
  <si>
    <t xml:space="preserve"> Horticulture Department - Daily Progress Report        Date : 23.09.2025</t>
  </si>
  <si>
    <t>GT Approved</t>
  </si>
  <si>
    <t>Current Strength</t>
  </si>
  <si>
    <t>Remark</t>
  </si>
  <si>
    <t xml:space="preserve">           Return mail HR 7 on-roll employee added back                                      </t>
  </si>
  <si>
    <t xml:space="preserve">Total no. of Associate Employees </t>
  </si>
  <si>
    <t>i. Sri Ram Enterprises</t>
  </si>
  <si>
    <t>ii. Pradhan Enterprises</t>
  </si>
  <si>
    <t>iii. Maa Mangala</t>
  </si>
  <si>
    <t xml:space="preserve">iv. Maa Ramchandi </t>
  </si>
  <si>
    <t>v. Bishnu Enterprise</t>
  </si>
  <si>
    <t>vi. Maa Sarala Engineering</t>
  </si>
  <si>
    <t xml:space="preserve">Total no of equipment - Company Owned </t>
  </si>
  <si>
    <t>02 tractors - OR 15Q 1036 (No. 17) &amp; OR 15R 0173 (No. 20)</t>
  </si>
  <si>
    <t>01 Multi uility vehicle - OD 15X 6336  (No. 03)</t>
  </si>
  <si>
    <t xml:space="preserve">01 JCB - OD 15X 6086  (No. 18) </t>
  </si>
  <si>
    <t>01 Hyva - OR 15S 5551 (No. 198)</t>
  </si>
  <si>
    <t xml:space="preserve">Total no of Vehicles </t>
  </si>
  <si>
    <t>01 Bolero - OD 15AA 2918</t>
  </si>
  <si>
    <t xml:space="preserve">Details of Utilization of equipment  </t>
  </si>
  <si>
    <t>01 Tractor (OR 15R 0173) - Total working 5 hrs -Pot Shifting Nursery to Township.
01 Tractor (OR 15Q 1036) - Total working hours - 5.5 hrs -Pot Shifting Nursery to Township.
01 Hyva (OR 15S 5551) - Total working area - 4 hrs -Green Garbage Shifting from Plant site to compost pit.
01 Multi Utility Vehicle (OD 15X 6336):  Total working hrs - 0 hrs - Driver Absent.
01 JCB (OD 15X 6086): Total working hrs 4 hrs  – Garbage cleaning in Township .</t>
  </si>
  <si>
    <t>Details of Utilization of Vehicles</t>
  </si>
  <si>
    <t>01 Bolero (OD 15AA 2918): Total = 24 km; Engaged for official duties,field visit, supervision of horticulture activities and coordination work within plant, SH 10, Township &amp; Sripura Nursery.</t>
  </si>
  <si>
    <t xml:space="preserve">No. of Plants planted in Township </t>
  </si>
  <si>
    <t>NIL</t>
  </si>
  <si>
    <t xml:space="preserve">No. of Plants planted in Plant Area </t>
  </si>
  <si>
    <t xml:space="preserve">No. of plants planted outside plant area </t>
  </si>
  <si>
    <t xml:space="preserve">New Arrival of Plants </t>
  </si>
  <si>
    <t xml:space="preserve">Total no of plants (Category wise) at nursery </t>
  </si>
  <si>
    <t>Forest Trees - 16000 Nos.</t>
  </si>
  <si>
    <t>Shrubs - 20000 Nos.</t>
  </si>
  <si>
    <t>Indoor - 2550 Nos.</t>
  </si>
  <si>
    <t xml:space="preserve">New Green Developing Area </t>
  </si>
  <si>
    <t>DRI 1 &amp; 2 Area - 4800 sq ft, CRM Canteen - 4036 sq ft approx. and Tube Mill - 7000 sq ft approx.  (Total - 15836 sq ft approx.)</t>
  </si>
  <si>
    <t>Total Maintenance area (Township, Plant, Outside &amp; Nursery)</t>
  </si>
  <si>
    <t>Total Green Cover = 175 Acre (708200 sq mtr)
A. Township - 80 Acre (323749 sq mtr); 
B. Nursery, 700 Acre, outside - 33.5 Acre (135570 sq mtr)
C. Plant - 61.5 Acre (248882 sq mtr)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</si>
</sst>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\-??_ ;_ @_ "/>
  </numFmts>
  <fonts count="3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charset val="1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charset val="1"/>
    </font>
    <font>
      <sz val="11"/>
      <color rgb="FF000000"/>
      <name val="Calibri"/>
      <family val="2"/>
    </font>
    <font>
      <b/>
      <sz val="12"/>
      <color rgb="FF000000"/>
      <name val="Aptos Narrow"/>
      <family val="2"/>
    </font>
    <font>
      <sz val="11"/>
      <color rgb="FF000000"/>
      <name val="Aptos Narrow"/>
      <family val="2"/>
    </font>
    <font>
      <vertAlign val="superscript"/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Calibri"/>
      <family val="2"/>
      <charset val="1"/>
    </font>
    <font>
      <sz val="11"/>
      <name val="Aptos Narrow"/>
      <family val="2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6"/>
      <color theme="1"/>
      <name val="Calibri"/>
      <family val="2"/>
      <charset val="1"/>
    </font>
    <font>
      <sz val="14"/>
      <color theme="1"/>
      <name val="Calibri"/>
      <family val="2"/>
    </font>
    <font>
      <b/>
      <sz val="12"/>
      <color theme="1"/>
      <name val="Calibri"/>
      <family val="2"/>
      <charset val="1"/>
    </font>
    <font>
      <sz val="12"/>
      <color theme="1"/>
      <name val="Calibri"/>
      <family val="2"/>
    </font>
    <font>
      <b/>
      <sz val="11"/>
      <color theme="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5">
    <xf numFmtId="0" fontId="0" fillId="0" borderId="0"/>
    <xf numFmtId="0" fontId="1" fillId="0" borderId="0"/>
    <xf numFmtId="0" fontId="3" fillId="0" borderId="0"/>
    <xf numFmtId="164" fontId="3" fillId="0" borderId="0" applyBorder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2" fillId="6" borderId="0" applyNumberFormat="0" applyBorder="0" applyAlignment="0" applyProtection="0"/>
    <xf numFmtId="0" fontId="23" fillId="7" borderId="0" applyNumberFormat="0" applyBorder="0" applyAlignment="0" applyProtection="0"/>
  </cellStyleXfs>
  <cellXfs count="401">
    <xf numFmtId="0" fontId="0" fillId="0" borderId="0" xfId="0"/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19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1" fontId="0" fillId="0" borderId="42" xfId="0" applyNumberForma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vertical="center"/>
    </xf>
    <xf numFmtId="0" fontId="5" fillId="0" borderId="4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5" fillId="0" borderId="49" xfId="0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 wrapText="1"/>
    </xf>
    <xf numFmtId="0" fontId="17" fillId="0" borderId="17" xfId="0" applyFont="1" applyBorder="1" applyAlignment="1">
      <alignment horizontal="left" vertical="center" wrapText="1"/>
    </xf>
    <xf numFmtId="0" fontId="17" fillId="0" borderId="1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0" xfId="0" applyFont="1"/>
    <xf numFmtId="0" fontId="9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top" wrapText="1"/>
    </xf>
    <xf numFmtId="0" fontId="9" fillId="0" borderId="6" xfId="0" applyFont="1" applyBorder="1" applyAlignment="1">
      <alignment wrapText="1"/>
    </xf>
    <xf numFmtId="0" fontId="9" fillId="0" borderId="16" xfId="0" applyFont="1" applyBorder="1" applyAlignment="1">
      <alignment wrapText="1"/>
    </xf>
    <xf numFmtId="0" fontId="9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right" vertical="center"/>
    </xf>
    <xf numFmtId="0" fontId="19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/>
    </xf>
    <xf numFmtId="0" fontId="4" fillId="0" borderId="16" xfId="0" applyFont="1" applyBorder="1"/>
    <xf numFmtId="0" fontId="4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/>
    </xf>
    <xf numFmtId="0" fontId="4" fillId="0" borderId="14" xfId="0" applyFont="1" applyBorder="1"/>
    <xf numFmtId="0" fontId="4" fillId="0" borderId="4" xfId="0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6" xfId="0" applyFont="1" applyBorder="1"/>
    <xf numFmtId="0" fontId="20" fillId="0" borderId="6" xfId="0" applyFont="1" applyBorder="1" applyAlignment="1">
      <alignment vertical="center"/>
    </xf>
    <xf numFmtId="0" fontId="20" fillId="0" borderId="16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9" fillId="0" borderId="6" xfId="0" applyFont="1" applyBorder="1"/>
    <xf numFmtId="0" fontId="9" fillId="0" borderId="16" xfId="0" applyFont="1" applyBorder="1"/>
    <xf numFmtId="0" fontId="9" fillId="0" borderId="6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6" fillId="0" borderId="26" xfId="0" applyFont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30" xfId="0" applyFont="1" applyBorder="1"/>
    <xf numFmtId="0" fontId="8" fillId="0" borderId="1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30" xfId="0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top"/>
    </xf>
    <xf numFmtId="0" fontId="10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 vertical="top" wrapText="1"/>
    </xf>
    <xf numFmtId="0" fontId="14" fillId="0" borderId="0" xfId="0" applyFont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top" wrapText="1"/>
    </xf>
    <xf numFmtId="0" fontId="8" fillId="2" borderId="7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1" fillId="0" borderId="31" xfId="0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top" wrapText="1"/>
    </xf>
    <xf numFmtId="0" fontId="8" fillId="0" borderId="3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top" wrapText="1"/>
    </xf>
    <xf numFmtId="0" fontId="11" fillId="2" borderId="6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/>
    </xf>
    <xf numFmtId="0" fontId="15" fillId="5" borderId="6" xfId="0" applyFont="1" applyFill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wrapText="1"/>
    </xf>
    <xf numFmtId="0" fontId="9" fillId="0" borderId="16" xfId="0" applyFont="1" applyBorder="1" applyAlignment="1">
      <alignment horizontal="center" wrapText="1"/>
    </xf>
    <xf numFmtId="0" fontId="11" fillId="0" borderId="32" xfId="0" applyFont="1" applyBorder="1" applyAlignment="1">
      <alignment horizontal="center"/>
    </xf>
    <xf numFmtId="49" fontId="11" fillId="0" borderId="6" xfId="12" applyNumberFormat="1" applyFont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9" fillId="0" borderId="60" xfId="0" applyFont="1" applyBorder="1" applyAlignment="1">
      <alignment wrapText="1"/>
    </xf>
    <xf numFmtId="0" fontId="6" fillId="8" borderId="6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left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25" fillId="6" borderId="6" xfId="13" applyFont="1" applyBorder="1" applyAlignment="1">
      <alignment horizontal="center" vertical="center"/>
    </xf>
    <xf numFmtId="0" fontId="6" fillId="8" borderId="6" xfId="0" applyFont="1" applyFill="1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3" fillId="7" borderId="6" xfId="14" applyBorder="1" applyAlignment="1">
      <alignment horizontal="center" vertical="center"/>
    </xf>
    <xf numFmtId="0" fontId="23" fillId="7" borderId="6" xfId="14" applyBorder="1" applyAlignment="1">
      <alignment horizontal="left" vertical="center" wrapText="1"/>
    </xf>
    <xf numFmtId="0" fontId="26" fillId="7" borderId="6" xfId="14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left" vertical="center" wrapText="1"/>
    </xf>
    <xf numFmtId="0" fontId="4" fillId="8" borderId="6" xfId="0" applyFont="1" applyFill="1" applyBorder="1" applyAlignment="1">
      <alignment vertical="center" wrapText="1"/>
    </xf>
    <xf numFmtId="0" fontId="4" fillId="8" borderId="6" xfId="0" applyFont="1" applyFill="1" applyBorder="1" applyAlignment="1">
      <alignment horizontal="center" wrapText="1"/>
    </xf>
    <xf numFmtId="0" fontId="4" fillId="8" borderId="6" xfId="0" applyFont="1" applyFill="1" applyBorder="1" applyAlignment="1">
      <alignment horizontal="left" wrapText="1"/>
    </xf>
    <xf numFmtId="0" fontId="4" fillId="8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10" borderId="6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/>
    </xf>
    <xf numFmtId="0" fontId="27" fillId="10" borderId="6" xfId="0" applyFont="1" applyFill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/>
    </xf>
    <xf numFmtId="0" fontId="28" fillId="0" borderId="6" xfId="0" applyFont="1" applyBorder="1" applyAlignment="1">
      <alignment horizontal="center" vertical="center"/>
    </xf>
    <xf numFmtId="18" fontId="29" fillId="0" borderId="6" xfId="0" applyNumberFormat="1" applyFont="1" applyBorder="1" applyAlignment="1">
      <alignment horizontal="center" vertical="center"/>
    </xf>
    <xf numFmtId="0" fontId="30" fillId="0" borderId="6" xfId="0" applyFont="1" applyBorder="1" applyAlignment="1">
      <alignment vertical="center" wrapText="1"/>
    </xf>
    <xf numFmtId="0" fontId="30" fillId="0" borderId="6" xfId="0" applyFont="1" applyBorder="1" applyAlignment="1">
      <alignment vertical="center"/>
    </xf>
    <xf numFmtId="0" fontId="27" fillId="11" borderId="6" xfId="0" applyFont="1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/>
    </xf>
    <xf numFmtId="18" fontId="30" fillId="0" borderId="6" xfId="0" applyNumberFormat="1" applyFont="1" applyBorder="1" applyAlignment="1">
      <alignment horizontal="center" vertical="center"/>
    </xf>
    <xf numFmtId="0" fontId="28" fillId="0" borderId="6" xfId="0" applyFont="1" applyBorder="1" applyAlignment="1">
      <alignment vertical="center"/>
    </xf>
    <xf numFmtId="0" fontId="30" fillId="0" borderId="6" xfId="0" applyFont="1" applyBorder="1" applyAlignment="1">
      <alignment horizontal="left" vertical="center" wrapText="1"/>
    </xf>
    <xf numFmtId="0" fontId="30" fillId="0" borderId="6" xfId="0" applyFont="1" applyBorder="1" applyAlignment="1">
      <alignment horizontal="center" vertical="center"/>
    </xf>
    <xf numFmtId="18" fontId="28" fillId="0" borderId="6" xfId="0" applyNumberFormat="1" applyFont="1" applyBorder="1" applyAlignment="1">
      <alignment horizontal="center" vertical="center"/>
    </xf>
    <xf numFmtId="0" fontId="29" fillId="0" borderId="6" xfId="0" applyFont="1" applyBorder="1" applyAlignment="1">
      <alignment vertical="center"/>
    </xf>
    <xf numFmtId="0" fontId="0" fillId="12" borderId="6" xfId="0" applyFill="1" applyBorder="1" applyAlignment="1">
      <alignment horizontal="center" vertical="center"/>
    </xf>
    <xf numFmtId="0" fontId="0" fillId="12" borderId="0" xfId="0" applyFill="1"/>
    <xf numFmtId="0" fontId="4" fillId="12" borderId="6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 wrapText="1"/>
    </xf>
    <xf numFmtId="0" fontId="8" fillId="12" borderId="6" xfId="0" applyFont="1" applyFill="1" applyBorder="1" applyAlignment="1">
      <alignment horizontal="left" vertical="top" wrapText="1"/>
    </xf>
    <xf numFmtId="0" fontId="0" fillId="12" borderId="6" xfId="0" applyFill="1" applyBorder="1"/>
    <xf numFmtId="0" fontId="0" fillId="12" borderId="6" xfId="0" applyFill="1" applyBorder="1" applyAlignment="1">
      <alignment vertical="center" wrapText="1"/>
    </xf>
    <xf numFmtId="0" fontId="0" fillId="12" borderId="6" xfId="0" applyFill="1" applyBorder="1" applyAlignment="1">
      <alignment horizontal="center" vertical="center" wrapText="1"/>
    </xf>
    <xf numFmtId="0" fontId="6" fillId="12" borderId="6" xfId="0" applyFont="1" applyFill="1" applyBorder="1" applyAlignment="1">
      <alignment vertical="center" wrapText="1"/>
    </xf>
    <xf numFmtId="0" fontId="0" fillId="12" borderId="6" xfId="0" applyFill="1" applyBorder="1" applyAlignment="1">
      <alignment wrapText="1"/>
    </xf>
    <xf numFmtId="0" fontId="8" fillId="12" borderId="6" xfId="0" applyFont="1" applyFill="1" applyBorder="1" applyAlignment="1">
      <alignment horizontal="left" vertical="center" wrapText="1"/>
    </xf>
    <xf numFmtId="0" fontId="28" fillId="12" borderId="6" xfId="0" applyFont="1" applyFill="1" applyBorder="1" applyAlignment="1">
      <alignment horizontal="center" vertical="center"/>
    </xf>
    <xf numFmtId="0" fontId="0" fillId="12" borderId="6" xfId="0" applyFill="1" applyBorder="1" applyAlignment="1">
      <alignment vertical="center"/>
    </xf>
    <xf numFmtId="0" fontId="6" fillId="12" borderId="6" xfId="0" applyFont="1" applyFill="1" applyBorder="1" applyAlignment="1">
      <alignment horizontal="center" vertical="center" wrapText="1"/>
    </xf>
    <xf numFmtId="0" fontId="0" fillId="12" borderId="6" xfId="0" applyFill="1" applyBorder="1" applyAlignment="1">
      <alignment horizontal="center" wrapText="1"/>
    </xf>
    <xf numFmtId="0" fontId="8" fillId="12" borderId="6" xfId="0" applyFont="1" applyFill="1" applyBorder="1" applyAlignment="1">
      <alignment horizontal="center" vertical="top" wrapText="1"/>
    </xf>
    <xf numFmtId="0" fontId="31" fillId="12" borderId="6" xfId="0" applyFont="1" applyFill="1" applyBorder="1" applyAlignment="1">
      <alignment horizontal="center" vertical="center"/>
    </xf>
    <xf numFmtId="0" fontId="32" fillId="12" borderId="6" xfId="0" applyFont="1" applyFill="1" applyBorder="1" applyAlignment="1">
      <alignment horizontal="center" vertical="center" wrapText="1"/>
    </xf>
    <xf numFmtId="0" fontId="0" fillId="12" borderId="6" xfId="0" applyFill="1" applyBorder="1" applyAlignment="1">
      <alignment horizontal="center"/>
    </xf>
    <xf numFmtId="0" fontId="0" fillId="0" borderId="6" xfId="0" applyBorder="1" applyAlignment="1">
      <alignment wrapText="1"/>
    </xf>
    <xf numFmtId="0" fontId="0" fillId="12" borderId="0" xfId="0" applyFill="1" applyAlignment="1">
      <alignment horizontal="center" vertical="center"/>
    </xf>
    <xf numFmtId="0" fontId="0" fillId="12" borderId="0" xfId="0" applyFill="1" applyAlignment="1">
      <alignment vertical="center"/>
    </xf>
    <xf numFmtId="0" fontId="0" fillId="12" borderId="0" xfId="0" applyFill="1" applyAlignment="1">
      <alignment horizontal="center"/>
    </xf>
    <xf numFmtId="0" fontId="34" fillId="0" borderId="62" xfId="0" applyFont="1" applyBorder="1"/>
    <xf numFmtId="0" fontId="35" fillId="0" borderId="9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35" fillId="0" borderId="49" xfId="0" applyFont="1" applyBorder="1" applyAlignment="1">
      <alignment horizontal="center" vertical="center"/>
    </xf>
    <xf numFmtId="0" fontId="36" fillId="0" borderId="63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5" xfId="0" applyBorder="1" applyAlignment="1">
      <alignment vertical="center"/>
    </xf>
    <xf numFmtId="0" fontId="0" fillId="0" borderId="64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9" xfId="0" applyBorder="1"/>
    <xf numFmtId="0" fontId="0" fillId="0" borderId="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62" xfId="0" applyBorder="1"/>
    <xf numFmtId="0" fontId="0" fillId="0" borderId="3" xfId="0" applyBorder="1" applyAlignment="1">
      <alignment vertical="center"/>
    </xf>
    <xf numFmtId="0" fontId="37" fillId="0" borderId="6" xfId="0" applyFont="1" applyBorder="1" applyAlignment="1">
      <alignment horizontal="center" vertical="center"/>
    </xf>
    <xf numFmtId="0" fontId="37" fillId="0" borderId="6" xfId="0" applyFont="1" applyBorder="1" applyAlignment="1">
      <alignment horizontal="center"/>
    </xf>
    <xf numFmtId="0" fontId="37" fillId="0" borderId="16" xfId="0" applyFont="1" applyBorder="1" applyAlignment="1">
      <alignment horizontal="center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6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6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61" xfId="0" applyBorder="1" applyAlignment="1">
      <alignment vertical="center"/>
    </xf>
    <xf numFmtId="0" fontId="8" fillId="0" borderId="39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42" xfId="0" applyFont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4" borderId="27" xfId="0" applyFont="1" applyFill="1" applyBorder="1" applyAlignment="1">
      <alignment horizontal="center"/>
    </xf>
    <xf numFmtId="0" fontId="6" fillId="4" borderId="28" xfId="0" applyFont="1" applyFill="1" applyBorder="1" applyAlignment="1">
      <alignment horizontal="center"/>
    </xf>
    <xf numFmtId="0" fontId="6" fillId="4" borderId="29" xfId="0" applyFont="1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35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6" fillId="0" borderId="39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8" fillId="2" borderId="40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/>
    </xf>
    <xf numFmtId="0" fontId="8" fillId="2" borderId="43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18" fontId="8" fillId="0" borderId="39" xfId="0" applyNumberFormat="1" applyFont="1" applyBorder="1" applyAlignment="1">
      <alignment horizontal="left"/>
    </xf>
    <xf numFmtId="18" fontId="8" fillId="0" borderId="2" xfId="0" applyNumberFormat="1" applyFont="1" applyBorder="1" applyAlignment="1">
      <alignment horizontal="left"/>
    </xf>
    <xf numFmtId="18" fontId="8" fillId="0" borderId="42" xfId="0" applyNumberFormat="1" applyFont="1" applyBorder="1" applyAlignment="1">
      <alignment horizontal="left"/>
    </xf>
    <xf numFmtId="20" fontId="8" fillId="0" borderId="39" xfId="0" applyNumberFormat="1" applyFont="1" applyBorder="1" applyAlignment="1">
      <alignment horizontal="left"/>
    </xf>
    <xf numFmtId="20" fontId="8" fillId="0" borderId="2" xfId="0" applyNumberFormat="1" applyFont="1" applyBorder="1" applyAlignment="1">
      <alignment horizontal="left"/>
    </xf>
    <xf numFmtId="20" fontId="8" fillId="0" borderId="42" xfId="0" applyNumberFormat="1" applyFont="1" applyBorder="1" applyAlignment="1">
      <alignment horizontal="left"/>
    </xf>
    <xf numFmtId="0" fontId="6" fillId="0" borderId="39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42" xfId="0" applyFont="1" applyBorder="1" applyAlignment="1">
      <alignment horizontal="left"/>
    </xf>
    <xf numFmtId="0" fontId="0" fillId="0" borderId="22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1" fillId="0" borderId="59" xfId="0" applyFont="1" applyBorder="1" applyAlignment="1">
      <alignment horizontal="left" wrapText="1"/>
    </xf>
    <xf numFmtId="0" fontId="21" fillId="0" borderId="58" xfId="0" applyFont="1" applyBorder="1" applyAlignment="1">
      <alignment horizontal="left"/>
    </xf>
    <xf numFmtId="0" fontId="21" fillId="0" borderId="57" xfId="0" applyFont="1" applyBorder="1" applyAlignment="1">
      <alignment horizontal="left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56" xfId="0" applyFont="1" applyBorder="1" applyAlignment="1">
      <alignment horizontal="left" vertical="center"/>
    </xf>
    <xf numFmtId="0" fontId="0" fillId="0" borderId="5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42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7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0" fillId="0" borderId="25" xfId="0" applyBorder="1" applyAlignment="1">
      <alignment horizontal="left" vertical="center"/>
    </xf>
    <xf numFmtId="0" fontId="17" fillId="0" borderId="17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44" xfId="0" applyFont="1" applyBorder="1" applyAlignment="1">
      <alignment horizontal="center"/>
    </xf>
    <xf numFmtId="0" fontId="7" fillId="0" borderId="45" xfId="0" applyFont="1" applyBorder="1" applyAlignment="1">
      <alignment horizontal="center"/>
    </xf>
    <xf numFmtId="0" fontId="7" fillId="0" borderId="46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" fontId="0" fillId="0" borderId="23" xfId="0" applyNumberFormat="1" applyBorder="1" applyAlignment="1">
      <alignment horizontal="center" vertical="center"/>
    </xf>
    <xf numFmtId="1" fontId="0" fillId="0" borderId="48" xfId="0" applyNumberForma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0" fillId="0" borderId="54" xfId="0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0" fillId="0" borderId="53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0" fillId="0" borderId="45" xfId="0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0" fillId="0" borderId="54" xfId="0" applyBorder="1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56" xfId="0" applyBorder="1" applyAlignment="1">
      <alignment horizontal="left" vertical="top"/>
    </xf>
    <xf numFmtId="0" fontId="37" fillId="0" borderId="54" xfId="0" applyFont="1" applyBorder="1" applyAlignment="1">
      <alignment horizontal="left" vertical="center" wrapText="1"/>
    </xf>
    <xf numFmtId="0" fontId="37" fillId="0" borderId="55" xfId="0" applyFont="1" applyBorder="1" applyAlignment="1">
      <alignment horizontal="left" vertical="center" wrapText="1"/>
    </xf>
    <xf numFmtId="0" fontId="37" fillId="0" borderId="56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2" xfId="0" applyBorder="1" applyAlignment="1">
      <alignment horizontal="left" vertical="top" wrapText="1"/>
    </xf>
    <xf numFmtId="0" fontId="0" fillId="0" borderId="44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0" fillId="0" borderId="67" xfId="0" applyBorder="1" applyAlignment="1">
      <alignment horizontal="left" vertical="center" wrapText="1"/>
    </xf>
    <xf numFmtId="0" fontId="0" fillId="0" borderId="60" xfId="0" applyBorder="1" applyAlignment="1">
      <alignment horizontal="left" vertical="center" wrapText="1"/>
    </xf>
    <xf numFmtId="0" fontId="0" fillId="0" borderId="68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0" fillId="0" borderId="69" xfId="0" applyBorder="1" applyAlignment="1">
      <alignment horizontal="left" vertical="center" wrapText="1"/>
    </xf>
    <xf numFmtId="0" fontId="0" fillId="0" borderId="70" xfId="0" applyBorder="1" applyAlignment="1">
      <alignment horizontal="left" vertical="center" wrapText="1"/>
    </xf>
    <xf numFmtId="0" fontId="0" fillId="0" borderId="71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 wrapText="1"/>
    </xf>
    <xf numFmtId="0" fontId="24" fillId="8" borderId="2" xfId="0" applyFont="1" applyFill="1" applyBorder="1" applyAlignment="1">
      <alignment horizontal="center" vertical="center" wrapText="1"/>
    </xf>
    <xf numFmtId="0" fontId="24" fillId="8" borderId="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25" fillId="6" borderId="4" xfId="13" applyFont="1" applyBorder="1" applyAlignment="1">
      <alignment horizontal="center" vertical="center"/>
    </xf>
    <xf numFmtId="0" fontId="25" fillId="6" borderId="7" xfId="13" applyFont="1" applyBorder="1" applyAlignment="1">
      <alignment horizontal="center" vertical="center"/>
    </xf>
    <xf numFmtId="0" fontId="25" fillId="6" borderId="5" xfId="13" applyFont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61" xfId="0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7" fillId="9" borderId="6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right" vertical="center" wrapText="1"/>
    </xf>
    <xf numFmtId="0" fontId="4" fillId="9" borderId="2" xfId="0" applyFont="1" applyFill="1" applyBorder="1" applyAlignment="1">
      <alignment horizontal="right" vertical="center" wrapText="1"/>
    </xf>
    <xf numFmtId="0" fontId="4" fillId="9" borderId="3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7" fillId="12" borderId="6" xfId="0" applyFont="1" applyFill="1" applyBorder="1" applyAlignment="1">
      <alignment horizontal="left"/>
    </xf>
    <xf numFmtId="0" fontId="7" fillId="12" borderId="6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</cellXfs>
  <cellStyles count="15">
    <cellStyle name="Comma 2" xfId="3" xr:uid="{43640ABB-179E-41CD-8CE4-90FCDB2F19CB}"/>
    <cellStyle name="Good" xfId="13" builtinId="26"/>
    <cellStyle name="Neutral" xfId="14" builtinId="28"/>
    <cellStyle name="Normal" xfId="0" builtinId="0"/>
    <cellStyle name="Normal 2" xfId="1" xr:uid="{FF643B3A-9E5F-48C2-8DAA-FDA8949144F9}"/>
    <cellStyle name="Normal 2 2" xfId="4" xr:uid="{461BAEF7-0429-496F-B73E-CAA7CF1F55C5}"/>
    <cellStyle name="Normal 3" xfId="5" xr:uid="{DFBD4921-4505-4984-AEDF-62B061D7555D}"/>
    <cellStyle name="Normal 4" xfId="6" xr:uid="{8CDF419C-1C79-4DF1-BD64-861D32F08B37}"/>
    <cellStyle name="Normal 5" xfId="7" xr:uid="{E52AD744-AEE8-4100-9025-E435D3481078}"/>
    <cellStyle name="Normal 6" xfId="8" xr:uid="{DEA11A3C-6837-471C-A140-700BAA50917A}"/>
    <cellStyle name="Normal 7" xfId="9" xr:uid="{1F293C02-6975-4EC0-A33D-17F2E7F8BA7F}"/>
    <cellStyle name="Normal 8" xfId="10" xr:uid="{DADAB5BB-626B-43BA-8887-9CF01F087D81}"/>
    <cellStyle name="Normal 9" xfId="2" xr:uid="{7329BF83-7951-4688-B734-4156C94BCE7E}"/>
    <cellStyle name="Normal 9 2" xfId="11" xr:uid="{4D1867B2-118C-4962-B9D9-B5F4DD56986E}"/>
    <cellStyle name="Percent" xfId="1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BD40C-4783-405E-ABC4-95B4ACF7D4A7}">
  <dimension ref="B1:K87"/>
  <sheetViews>
    <sheetView tabSelected="1" workbookViewId="0">
      <selection activeCell="D62" sqref="D62:H77"/>
    </sheetView>
  </sheetViews>
  <sheetFormatPr defaultColWidth="9.140625" defaultRowHeight="15.75" x14ac:dyDescent="0.25"/>
  <cols>
    <col min="1" max="1" width="9.140625" style="71"/>
    <col min="2" max="2" width="4.5703125" style="69" customWidth="1"/>
    <col min="3" max="3" width="39.5703125" style="70" customWidth="1"/>
    <col min="4" max="6" width="34.140625" style="70" customWidth="1"/>
    <col min="7" max="7" width="37.42578125" style="69" customWidth="1"/>
    <col min="8" max="8" width="26.42578125" style="71" customWidth="1"/>
    <col min="9" max="9" width="11.42578125" style="71" bestFit="1" customWidth="1"/>
    <col min="10" max="10" width="12.85546875" style="71" bestFit="1" customWidth="1"/>
    <col min="11" max="11" width="12.28515625" style="71" customWidth="1"/>
    <col min="12" max="12" width="9.140625" style="71"/>
    <col min="13" max="13" width="16.42578125" style="71" customWidth="1"/>
    <col min="14" max="16384" width="9.140625" style="71"/>
  </cols>
  <sheetData>
    <row r="1" spans="2:11" ht="16.5" thickBot="1" x14ac:dyDescent="0.3"/>
    <row r="2" spans="2:11" ht="16.5" thickBot="1" x14ac:dyDescent="0.3">
      <c r="B2" s="224" t="s">
        <v>241</v>
      </c>
      <c r="C2" s="225"/>
      <c r="D2" s="225"/>
      <c r="E2" s="225"/>
      <c r="F2" s="225"/>
      <c r="G2" s="225"/>
      <c r="H2" s="225"/>
      <c r="I2" s="225"/>
      <c r="J2" s="225"/>
      <c r="K2" s="226"/>
    </row>
    <row r="3" spans="2:11" ht="16.5" thickBot="1" x14ac:dyDescent="0.3">
      <c r="B3" s="72" t="s">
        <v>8</v>
      </c>
      <c r="C3" s="227" t="s">
        <v>9</v>
      </c>
      <c r="D3" s="228"/>
      <c r="E3" s="228"/>
      <c r="F3" s="228"/>
      <c r="G3" s="228"/>
      <c r="H3" s="228"/>
      <c r="I3" s="228"/>
      <c r="J3" s="228"/>
      <c r="K3" s="229"/>
    </row>
    <row r="4" spans="2:11" x14ac:dyDescent="0.25">
      <c r="B4" s="73">
        <v>1</v>
      </c>
      <c r="C4" s="74" t="s">
        <v>11</v>
      </c>
      <c r="D4" s="74" t="s">
        <v>0</v>
      </c>
      <c r="E4" s="74" t="s">
        <v>1</v>
      </c>
      <c r="F4" s="75"/>
      <c r="K4" s="76"/>
    </row>
    <row r="5" spans="2:11" x14ac:dyDescent="0.25">
      <c r="B5" s="77" t="s">
        <v>12</v>
      </c>
      <c r="C5" s="78" t="s">
        <v>3</v>
      </c>
      <c r="D5" s="78">
        <v>0</v>
      </c>
      <c r="E5" s="78">
        <v>0</v>
      </c>
      <c r="F5" s="69"/>
      <c r="H5" s="79"/>
      <c r="I5" s="79"/>
      <c r="J5" s="79"/>
      <c r="K5" s="80"/>
    </row>
    <row r="6" spans="2:11" x14ac:dyDescent="0.25">
      <c r="B6" s="77" t="s">
        <v>13</v>
      </c>
      <c r="C6" s="78" t="s">
        <v>4</v>
      </c>
      <c r="D6" s="78">
        <v>0</v>
      </c>
      <c r="E6" s="78">
        <v>0</v>
      </c>
      <c r="F6" s="69"/>
      <c r="H6" s="79"/>
      <c r="I6" s="79"/>
      <c r="J6" s="79"/>
      <c r="K6" s="80"/>
    </row>
    <row r="7" spans="2:11" x14ac:dyDescent="0.25">
      <c r="B7" s="77" t="s">
        <v>14</v>
      </c>
      <c r="C7" s="81" t="s">
        <v>10</v>
      </c>
      <c r="D7" s="78">
        <v>0</v>
      </c>
      <c r="E7" s="78">
        <v>0</v>
      </c>
      <c r="F7" s="69"/>
      <c r="H7" s="79"/>
      <c r="I7" s="79"/>
      <c r="J7" s="79"/>
      <c r="K7" s="80"/>
    </row>
    <row r="8" spans="2:11" x14ac:dyDescent="0.25">
      <c r="B8" s="77"/>
      <c r="C8" s="81" t="s">
        <v>15</v>
      </c>
      <c r="D8" s="78">
        <v>0</v>
      </c>
      <c r="E8" s="78">
        <v>0</v>
      </c>
      <c r="F8" s="69"/>
      <c r="H8" s="79"/>
      <c r="I8" s="79"/>
      <c r="J8" s="79"/>
      <c r="K8" s="80"/>
    </row>
    <row r="9" spans="2:11" x14ac:dyDescent="0.25">
      <c r="B9" s="77" t="s">
        <v>12</v>
      </c>
      <c r="C9" s="78" t="s">
        <v>16</v>
      </c>
      <c r="D9" s="78">
        <v>0</v>
      </c>
      <c r="E9" s="78">
        <v>0</v>
      </c>
      <c r="F9" s="69"/>
      <c r="H9" s="79"/>
      <c r="I9" s="79"/>
      <c r="J9" s="79"/>
      <c r="K9" s="80"/>
    </row>
    <row r="10" spans="2:11" x14ac:dyDescent="0.25">
      <c r="B10" s="77"/>
      <c r="C10" s="78"/>
      <c r="D10" s="78">
        <v>0</v>
      </c>
      <c r="E10" s="78">
        <v>0</v>
      </c>
      <c r="F10" s="69"/>
      <c r="H10" s="79"/>
      <c r="I10" s="79"/>
      <c r="J10" s="79"/>
      <c r="K10" s="80"/>
    </row>
    <row r="11" spans="2:11" x14ac:dyDescent="0.25">
      <c r="B11" s="77"/>
      <c r="C11" s="81" t="s">
        <v>6</v>
      </c>
      <c r="D11" s="78">
        <v>0</v>
      </c>
      <c r="E11" s="78">
        <v>0</v>
      </c>
      <c r="F11" s="69"/>
      <c r="H11" s="79"/>
      <c r="I11" s="79"/>
      <c r="J11" s="79"/>
      <c r="K11" s="80"/>
    </row>
    <row r="12" spans="2:11" x14ac:dyDescent="0.25">
      <c r="B12" s="77" t="s">
        <v>12</v>
      </c>
      <c r="C12" s="78" t="s">
        <v>17</v>
      </c>
      <c r="D12" s="78">
        <v>0</v>
      </c>
      <c r="E12" s="78">
        <v>0</v>
      </c>
      <c r="F12" s="69"/>
      <c r="H12" s="79"/>
      <c r="I12" s="79"/>
      <c r="J12" s="79"/>
      <c r="K12" s="80"/>
    </row>
    <row r="13" spans="2:11" x14ac:dyDescent="0.25">
      <c r="B13" s="77" t="s">
        <v>13</v>
      </c>
      <c r="C13" s="78" t="s">
        <v>18</v>
      </c>
      <c r="D13" s="78">
        <v>0</v>
      </c>
      <c r="E13" s="78">
        <v>0</v>
      </c>
      <c r="F13" s="69"/>
      <c r="H13" s="79"/>
      <c r="I13" s="79"/>
      <c r="J13" s="79"/>
      <c r="K13" s="80"/>
    </row>
    <row r="14" spans="2:11" x14ac:dyDescent="0.25">
      <c r="B14" s="77" t="s">
        <v>14</v>
      </c>
      <c r="C14" s="78" t="s">
        <v>5</v>
      </c>
      <c r="D14" s="78">
        <v>0</v>
      </c>
      <c r="E14" s="78">
        <v>0</v>
      </c>
      <c r="F14" s="69"/>
      <c r="H14" s="79"/>
      <c r="I14" s="79"/>
      <c r="J14" s="79"/>
      <c r="K14" s="80"/>
    </row>
    <row r="15" spans="2:11" x14ac:dyDescent="0.25">
      <c r="B15" s="77"/>
      <c r="C15" s="78"/>
      <c r="D15" s="78"/>
      <c r="E15" s="78"/>
      <c r="F15" s="69"/>
      <c r="H15" s="79"/>
      <c r="I15" s="79"/>
      <c r="J15" s="79"/>
      <c r="K15" s="80"/>
    </row>
    <row r="16" spans="2:11" x14ac:dyDescent="0.25">
      <c r="B16" s="73">
        <v>2</v>
      </c>
      <c r="C16" s="82" t="s">
        <v>19</v>
      </c>
      <c r="D16" s="83" t="s">
        <v>20</v>
      </c>
      <c r="E16" s="84" t="s">
        <v>21</v>
      </c>
      <c r="F16" s="69"/>
      <c r="H16" s="79"/>
      <c r="I16" s="79"/>
      <c r="J16" s="79"/>
      <c r="K16" s="80"/>
    </row>
    <row r="17" spans="2:11" x14ac:dyDescent="0.25">
      <c r="B17" s="77" t="s">
        <v>12</v>
      </c>
      <c r="C17" s="78" t="s">
        <v>22</v>
      </c>
      <c r="D17" s="78">
        <v>0</v>
      </c>
      <c r="E17" s="78">
        <v>0</v>
      </c>
      <c r="F17" s="69"/>
      <c r="H17" s="79"/>
      <c r="I17" s="79"/>
      <c r="J17" s="79"/>
      <c r="K17" s="80"/>
    </row>
    <row r="18" spans="2:11" x14ac:dyDescent="0.25">
      <c r="B18" s="77" t="s">
        <v>13</v>
      </c>
      <c r="C18" s="78" t="s">
        <v>169</v>
      </c>
      <c r="D18" s="78">
        <v>0</v>
      </c>
      <c r="E18" s="78">
        <v>0</v>
      </c>
      <c r="F18" s="69"/>
      <c r="H18" s="79"/>
      <c r="I18" s="79"/>
      <c r="J18" s="79"/>
      <c r="K18" s="80"/>
    </row>
    <row r="19" spans="2:11" x14ac:dyDescent="0.25">
      <c r="B19" s="77" t="s">
        <v>14</v>
      </c>
      <c r="C19" s="85" t="s">
        <v>23</v>
      </c>
      <c r="D19" s="78">
        <v>0</v>
      </c>
      <c r="E19" s="78">
        <v>0</v>
      </c>
      <c r="F19" s="69"/>
      <c r="H19" s="79"/>
      <c r="I19" s="79"/>
      <c r="J19" s="79"/>
      <c r="K19" s="80"/>
    </row>
    <row r="20" spans="2:11" x14ac:dyDescent="0.25">
      <c r="B20" s="77"/>
      <c r="C20" s="78"/>
      <c r="D20" s="85"/>
      <c r="E20" s="78"/>
      <c r="F20" s="69"/>
      <c r="H20" s="79"/>
      <c r="I20" s="79"/>
      <c r="J20" s="79"/>
      <c r="K20" s="80"/>
    </row>
    <row r="21" spans="2:11" x14ac:dyDescent="0.25">
      <c r="B21" s="73">
        <v>3</v>
      </c>
      <c r="C21" s="86" t="s">
        <v>24</v>
      </c>
      <c r="D21" s="82" t="s">
        <v>25</v>
      </c>
      <c r="E21" s="87" t="s">
        <v>26</v>
      </c>
      <c r="F21" s="82" t="s">
        <v>27</v>
      </c>
      <c r="G21" s="82" t="s">
        <v>28</v>
      </c>
      <c r="H21" s="82" t="s">
        <v>29</v>
      </c>
      <c r="I21" s="82" t="s">
        <v>183</v>
      </c>
      <c r="J21" s="88" t="s">
        <v>31</v>
      </c>
      <c r="K21" s="88"/>
    </row>
    <row r="22" spans="2:11" x14ac:dyDescent="0.25">
      <c r="B22" s="77"/>
      <c r="C22" s="78" t="s">
        <v>22</v>
      </c>
      <c r="D22" s="89">
        <v>16</v>
      </c>
      <c r="E22" s="90">
        <v>27</v>
      </c>
      <c r="F22" s="90">
        <v>18</v>
      </c>
      <c r="G22" s="90">
        <v>74</v>
      </c>
      <c r="H22" s="90">
        <v>50</v>
      </c>
      <c r="I22" s="119" t="s">
        <v>240</v>
      </c>
      <c r="J22" s="119" t="s">
        <v>239</v>
      </c>
      <c r="K22" s="91"/>
    </row>
    <row r="23" spans="2:11" x14ac:dyDescent="0.25">
      <c r="B23" s="73">
        <v>4</v>
      </c>
      <c r="C23" s="92" t="s">
        <v>32</v>
      </c>
      <c r="D23" s="88" t="s">
        <v>25</v>
      </c>
      <c r="E23" s="88" t="s">
        <v>33</v>
      </c>
      <c r="F23" s="88" t="s">
        <v>34</v>
      </c>
      <c r="G23" s="88" t="s">
        <v>35</v>
      </c>
      <c r="H23" s="88" t="s">
        <v>28</v>
      </c>
      <c r="I23" s="88" t="s">
        <v>30</v>
      </c>
      <c r="J23" s="88" t="s">
        <v>31</v>
      </c>
      <c r="K23" s="80"/>
    </row>
    <row r="24" spans="2:11" x14ac:dyDescent="0.25">
      <c r="B24" s="77">
        <v>1</v>
      </c>
      <c r="C24" s="93" t="s">
        <v>36</v>
      </c>
      <c r="D24" s="67">
        <v>0</v>
      </c>
      <c r="E24" s="67">
        <v>0</v>
      </c>
      <c r="F24" s="67">
        <v>0</v>
      </c>
      <c r="G24" s="67">
        <v>0</v>
      </c>
      <c r="H24" s="67">
        <v>0</v>
      </c>
      <c r="I24" s="67">
        <v>0</v>
      </c>
      <c r="J24" s="67">
        <v>0</v>
      </c>
      <c r="K24" s="80"/>
    </row>
    <row r="25" spans="2:11" x14ac:dyDescent="0.25">
      <c r="B25" s="77">
        <v>2</v>
      </c>
      <c r="C25" s="93" t="s">
        <v>37</v>
      </c>
      <c r="D25" s="67">
        <v>0</v>
      </c>
      <c r="E25" s="67">
        <v>0</v>
      </c>
      <c r="F25" s="67">
        <v>0</v>
      </c>
      <c r="G25" s="67">
        <v>0</v>
      </c>
      <c r="H25" s="67">
        <v>0</v>
      </c>
      <c r="I25" s="67">
        <v>0</v>
      </c>
      <c r="J25" s="67">
        <v>0</v>
      </c>
      <c r="K25" s="80"/>
    </row>
    <row r="26" spans="2:11" x14ac:dyDescent="0.25">
      <c r="B26" s="77">
        <v>3</v>
      </c>
      <c r="C26" s="93" t="s">
        <v>38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80"/>
    </row>
    <row r="27" spans="2:11" x14ac:dyDescent="0.25">
      <c r="B27" s="77">
        <v>4</v>
      </c>
      <c r="C27" s="93" t="s">
        <v>39</v>
      </c>
      <c r="D27" s="67">
        <v>0</v>
      </c>
      <c r="E27" s="67">
        <v>0</v>
      </c>
      <c r="F27" s="67">
        <v>0</v>
      </c>
      <c r="G27" s="67">
        <v>0</v>
      </c>
      <c r="H27" s="67">
        <v>0</v>
      </c>
      <c r="I27" s="67">
        <v>0</v>
      </c>
      <c r="J27" s="67">
        <v>0</v>
      </c>
      <c r="K27" s="80"/>
    </row>
    <row r="28" spans="2:11" x14ac:dyDescent="0.25">
      <c r="B28" s="77">
        <v>5</v>
      </c>
      <c r="C28" s="93" t="s">
        <v>40</v>
      </c>
      <c r="D28" s="67">
        <v>0</v>
      </c>
      <c r="E28" s="67">
        <v>0</v>
      </c>
      <c r="F28" s="67">
        <v>0</v>
      </c>
      <c r="G28" s="67">
        <v>0</v>
      </c>
      <c r="H28" s="67">
        <v>0</v>
      </c>
      <c r="I28" s="67">
        <v>0</v>
      </c>
      <c r="J28" s="67">
        <v>0</v>
      </c>
      <c r="K28" s="80"/>
    </row>
    <row r="29" spans="2:11" x14ac:dyDescent="0.25">
      <c r="B29" s="77">
        <v>6</v>
      </c>
      <c r="C29" s="93" t="s">
        <v>41</v>
      </c>
      <c r="D29" s="67">
        <v>0</v>
      </c>
      <c r="E29" s="67">
        <v>0</v>
      </c>
      <c r="F29" s="67">
        <v>0</v>
      </c>
      <c r="G29" s="67">
        <v>0</v>
      </c>
      <c r="H29" s="67">
        <v>0</v>
      </c>
      <c r="I29" s="67">
        <v>0</v>
      </c>
      <c r="J29" s="67">
        <v>0</v>
      </c>
      <c r="K29" s="80"/>
    </row>
    <row r="30" spans="2:11" x14ac:dyDescent="0.25">
      <c r="B30" s="77">
        <v>7</v>
      </c>
      <c r="C30" s="93" t="s">
        <v>42</v>
      </c>
      <c r="D30" s="67">
        <v>0</v>
      </c>
      <c r="E30" s="67">
        <v>0</v>
      </c>
      <c r="F30" s="67">
        <v>0</v>
      </c>
      <c r="G30" s="67">
        <v>0</v>
      </c>
      <c r="H30" s="67">
        <v>0</v>
      </c>
      <c r="I30" s="67">
        <v>0</v>
      </c>
      <c r="J30" s="67">
        <v>0</v>
      </c>
      <c r="K30" s="80"/>
    </row>
    <row r="31" spans="2:11" x14ac:dyDescent="0.25">
      <c r="B31" s="77">
        <v>8</v>
      </c>
      <c r="C31" s="93" t="s">
        <v>43</v>
      </c>
      <c r="D31" s="67">
        <v>0</v>
      </c>
      <c r="E31" s="67">
        <v>0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80"/>
    </row>
    <row r="32" spans="2:11" x14ac:dyDescent="0.25">
      <c r="B32" s="77">
        <v>9</v>
      </c>
      <c r="C32" s="93" t="s">
        <v>44</v>
      </c>
      <c r="D32" s="67">
        <v>0</v>
      </c>
      <c r="E32" s="67">
        <v>0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80"/>
    </row>
    <row r="33" spans="2:11" x14ac:dyDescent="0.25">
      <c r="B33" s="77">
        <v>10</v>
      </c>
      <c r="C33" s="93" t="s">
        <v>45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80"/>
    </row>
    <row r="34" spans="2:11" x14ac:dyDescent="0.25">
      <c r="B34" s="77">
        <v>11</v>
      </c>
      <c r="C34" s="93" t="s">
        <v>46</v>
      </c>
      <c r="D34" s="67">
        <v>0</v>
      </c>
      <c r="E34" s="67">
        <v>0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80"/>
    </row>
    <row r="35" spans="2:11" x14ac:dyDescent="0.25">
      <c r="B35" s="77">
        <v>12</v>
      </c>
      <c r="C35" s="93" t="s">
        <v>47</v>
      </c>
      <c r="D35" s="67">
        <v>0</v>
      </c>
      <c r="E35" s="67">
        <v>0</v>
      </c>
      <c r="F35" s="67">
        <v>0</v>
      </c>
      <c r="G35" s="67">
        <v>0</v>
      </c>
      <c r="H35" s="67">
        <v>0</v>
      </c>
      <c r="I35" s="67">
        <v>0</v>
      </c>
      <c r="J35" s="67">
        <v>0</v>
      </c>
      <c r="K35" s="80"/>
    </row>
    <row r="36" spans="2:11" x14ac:dyDescent="0.25">
      <c r="B36" s="77">
        <v>13</v>
      </c>
      <c r="C36" s="93" t="s">
        <v>48</v>
      </c>
      <c r="D36" s="67">
        <v>0</v>
      </c>
      <c r="E36" s="67">
        <v>0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80"/>
    </row>
    <row r="37" spans="2:11" x14ac:dyDescent="0.25">
      <c r="B37" s="77">
        <v>14</v>
      </c>
      <c r="C37" s="93" t="s">
        <v>49</v>
      </c>
      <c r="D37" s="67">
        <v>0</v>
      </c>
      <c r="E37" s="67">
        <v>0</v>
      </c>
      <c r="F37" s="67">
        <v>0</v>
      </c>
      <c r="G37" s="67">
        <v>0</v>
      </c>
      <c r="H37" s="67">
        <v>0</v>
      </c>
      <c r="I37" s="67">
        <v>0</v>
      </c>
      <c r="J37" s="67">
        <v>0</v>
      </c>
      <c r="K37" s="80"/>
    </row>
    <row r="38" spans="2:11" x14ac:dyDescent="0.25">
      <c r="B38" s="77">
        <v>15</v>
      </c>
      <c r="C38" s="93" t="s">
        <v>50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80"/>
    </row>
    <row r="39" spans="2:11" x14ac:dyDescent="0.25">
      <c r="B39" s="77">
        <v>16</v>
      </c>
      <c r="C39" s="93" t="s">
        <v>51</v>
      </c>
      <c r="D39" s="67">
        <v>0</v>
      </c>
      <c r="E39" s="67">
        <v>0</v>
      </c>
      <c r="F39" s="67">
        <v>0</v>
      </c>
      <c r="G39" s="67">
        <v>0</v>
      </c>
      <c r="H39" s="67">
        <v>0</v>
      </c>
      <c r="I39" s="67">
        <v>0</v>
      </c>
      <c r="J39" s="67">
        <v>0</v>
      </c>
      <c r="K39" s="80"/>
    </row>
    <row r="40" spans="2:11" x14ac:dyDescent="0.25">
      <c r="B40" s="77">
        <v>17</v>
      </c>
      <c r="C40" s="93" t="s">
        <v>52</v>
      </c>
      <c r="D40" s="67">
        <v>0</v>
      </c>
      <c r="E40" s="67">
        <v>0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80"/>
    </row>
    <row r="41" spans="2:11" x14ac:dyDescent="0.25">
      <c r="B41" s="77">
        <v>18</v>
      </c>
      <c r="C41" s="93" t="s">
        <v>53</v>
      </c>
      <c r="D41" s="67">
        <v>0</v>
      </c>
      <c r="E41" s="67">
        <v>0</v>
      </c>
      <c r="F41" s="67">
        <v>0</v>
      </c>
      <c r="G41" s="67">
        <v>0</v>
      </c>
      <c r="H41" s="67">
        <v>0</v>
      </c>
      <c r="I41" s="67">
        <v>0</v>
      </c>
      <c r="J41" s="67">
        <v>0</v>
      </c>
      <c r="K41" s="80"/>
    </row>
    <row r="42" spans="2:11" x14ac:dyDescent="0.25">
      <c r="B42" s="77">
        <v>19</v>
      </c>
      <c r="C42" s="93" t="s">
        <v>54</v>
      </c>
      <c r="D42" s="67">
        <v>0</v>
      </c>
      <c r="E42" s="67">
        <v>0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80"/>
    </row>
    <row r="43" spans="2:11" x14ac:dyDescent="0.25">
      <c r="B43" s="77">
        <v>20</v>
      </c>
      <c r="C43" s="93" t="s">
        <v>55</v>
      </c>
      <c r="D43" s="67">
        <v>0</v>
      </c>
      <c r="E43" s="67">
        <v>0</v>
      </c>
      <c r="F43" s="67">
        <v>0</v>
      </c>
      <c r="G43" s="67">
        <v>0</v>
      </c>
      <c r="H43" s="67">
        <v>0</v>
      </c>
      <c r="I43" s="67">
        <v>0</v>
      </c>
      <c r="J43" s="67">
        <v>0</v>
      </c>
      <c r="K43" s="80"/>
    </row>
    <row r="44" spans="2:11" x14ac:dyDescent="0.25">
      <c r="B44" s="77"/>
      <c r="C44" s="93" t="s">
        <v>56</v>
      </c>
      <c r="D44" s="67">
        <v>0</v>
      </c>
      <c r="E44" s="67">
        <v>0</v>
      </c>
      <c r="F44" s="67">
        <v>0</v>
      </c>
      <c r="G44" s="67">
        <v>0</v>
      </c>
      <c r="H44" s="67">
        <v>0</v>
      </c>
      <c r="I44" s="67">
        <v>0</v>
      </c>
      <c r="J44" s="67">
        <v>0</v>
      </c>
      <c r="K44" s="80"/>
    </row>
    <row r="45" spans="2:11" x14ac:dyDescent="0.25">
      <c r="B45" s="77"/>
      <c r="C45" s="78"/>
      <c r="D45" s="94"/>
      <c r="E45" s="94"/>
      <c r="F45" s="94"/>
      <c r="G45" s="78"/>
      <c r="H45" s="79"/>
      <c r="I45" s="79"/>
      <c r="J45" s="95"/>
      <c r="K45" s="80"/>
    </row>
    <row r="46" spans="2:11" x14ac:dyDescent="0.25">
      <c r="B46" s="73">
        <v>5</v>
      </c>
      <c r="C46" s="96" t="s">
        <v>57</v>
      </c>
      <c r="D46" s="97" t="s">
        <v>58</v>
      </c>
      <c r="E46" s="98" t="s">
        <v>59</v>
      </c>
      <c r="F46" s="99" t="s">
        <v>60</v>
      </c>
      <c r="G46" s="100" t="s">
        <v>2</v>
      </c>
      <c r="H46" s="79"/>
      <c r="I46" s="79"/>
      <c r="J46" s="79"/>
      <c r="K46" s="80"/>
    </row>
    <row r="47" spans="2:11" x14ac:dyDescent="0.25">
      <c r="B47" s="77"/>
      <c r="C47" s="78"/>
      <c r="D47" s="101" t="s">
        <v>61</v>
      </c>
      <c r="E47" s="118">
        <v>0</v>
      </c>
      <c r="F47" s="118">
        <v>0</v>
      </c>
      <c r="G47" s="118">
        <v>0</v>
      </c>
      <c r="H47" s="79" t="s">
        <v>62</v>
      </c>
      <c r="I47" s="79"/>
      <c r="J47" s="79"/>
      <c r="K47" s="80"/>
    </row>
    <row r="48" spans="2:11" x14ac:dyDescent="0.25">
      <c r="B48" s="77"/>
      <c r="C48" s="78"/>
      <c r="D48" s="101" t="s">
        <v>63</v>
      </c>
      <c r="E48" s="118">
        <v>0</v>
      </c>
      <c r="F48" s="118">
        <v>0</v>
      </c>
      <c r="G48" s="118">
        <v>0</v>
      </c>
      <c r="H48" s="79"/>
      <c r="I48" s="79"/>
      <c r="J48" s="79"/>
      <c r="K48" s="80"/>
    </row>
    <row r="49" spans="2:11" x14ac:dyDescent="0.25">
      <c r="B49" s="77"/>
      <c r="C49" s="78"/>
      <c r="D49" s="101" t="s">
        <v>64</v>
      </c>
      <c r="E49" s="118">
        <v>0</v>
      </c>
      <c r="F49" s="118">
        <v>0</v>
      </c>
      <c r="G49" s="118">
        <v>0</v>
      </c>
      <c r="H49" s="79"/>
      <c r="I49" s="79"/>
      <c r="J49" s="79"/>
      <c r="K49" s="80"/>
    </row>
    <row r="50" spans="2:11" x14ac:dyDescent="0.25">
      <c r="B50" s="77"/>
      <c r="C50" s="78"/>
      <c r="D50" s="101" t="s">
        <v>65</v>
      </c>
      <c r="E50" s="118">
        <v>0</v>
      </c>
      <c r="F50" s="118">
        <v>0</v>
      </c>
      <c r="G50" s="118">
        <v>0</v>
      </c>
      <c r="H50" s="79"/>
      <c r="I50" s="79"/>
      <c r="J50" s="79"/>
      <c r="K50" s="80"/>
    </row>
    <row r="51" spans="2:11" x14ac:dyDescent="0.25">
      <c r="B51" s="77"/>
      <c r="C51" s="78"/>
      <c r="D51" s="102" t="s">
        <v>66</v>
      </c>
      <c r="E51" s="118">
        <v>0</v>
      </c>
      <c r="F51" s="118">
        <v>0</v>
      </c>
      <c r="G51" s="118">
        <v>0</v>
      </c>
      <c r="H51" s="79"/>
      <c r="I51" s="79"/>
      <c r="J51" s="79"/>
      <c r="K51" s="80"/>
    </row>
    <row r="52" spans="2:11" x14ac:dyDescent="0.25">
      <c r="B52" s="77"/>
      <c r="C52" s="78"/>
      <c r="D52" s="101" t="s">
        <v>67</v>
      </c>
      <c r="E52" s="118">
        <v>0</v>
      </c>
      <c r="F52" s="118">
        <v>0</v>
      </c>
      <c r="G52" s="118">
        <v>0</v>
      </c>
      <c r="H52" s="79"/>
      <c r="I52" s="79"/>
      <c r="J52" s="79"/>
      <c r="K52" s="80"/>
    </row>
    <row r="53" spans="2:11" x14ac:dyDescent="0.25">
      <c r="B53" s="77"/>
      <c r="C53" s="78"/>
      <c r="D53" s="101" t="s">
        <v>68</v>
      </c>
      <c r="E53" s="118">
        <v>0</v>
      </c>
      <c r="F53" s="118">
        <v>0</v>
      </c>
      <c r="G53" s="118">
        <v>0</v>
      </c>
      <c r="H53" s="79"/>
      <c r="I53" s="79"/>
      <c r="J53" s="79"/>
      <c r="K53" s="80"/>
    </row>
    <row r="54" spans="2:11" x14ac:dyDescent="0.25">
      <c r="B54" s="77"/>
      <c r="C54" s="78"/>
      <c r="D54" s="101" t="s">
        <v>28</v>
      </c>
      <c r="E54" s="118">
        <v>0</v>
      </c>
      <c r="F54" s="118">
        <v>0</v>
      </c>
      <c r="G54" s="118">
        <v>0</v>
      </c>
      <c r="H54" s="79"/>
      <c r="I54" s="79"/>
      <c r="J54" s="79"/>
      <c r="K54" s="80"/>
    </row>
    <row r="55" spans="2:11" x14ac:dyDescent="0.25">
      <c r="B55" s="77"/>
      <c r="C55" s="78"/>
      <c r="D55" s="101" t="s">
        <v>69</v>
      </c>
      <c r="E55" s="118">
        <v>0</v>
      </c>
      <c r="F55" s="118">
        <v>0</v>
      </c>
      <c r="G55" s="118">
        <v>0</v>
      </c>
      <c r="H55" s="79"/>
      <c r="I55" s="79"/>
      <c r="J55" s="79"/>
      <c r="K55" s="80"/>
    </row>
    <row r="56" spans="2:11" x14ac:dyDescent="0.25">
      <c r="B56" s="77"/>
      <c r="C56" s="78"/>
      <c r="D56" s="101" t="s">
        <v>35</v>
      </c>
      <c r="E56" s="118">
        <v>0</v>
      </c>
      <c r="F56" s="118">
        <v>0</v>
      </c>
      <c r="G56" s="118">
        <v>0</v>
      </c>
      <c r="H56" s="79"/>
      <c r="I56" s="79"/>
      <c r="J56" s="79"/>
      <c r="K56" s="80"/>
    </row>
    <row r="57" spans="2:11" x14ac:dyDescent="0.25">
      <c r="B57" s="77"/>
      <c r="C57" s="78"/>
      <c r="D57" s="230" t="s">
        <v>2</v>
      </c>
      <c r="E57" s="231"/>
      <c r="F57" s="232"/>
      <c r="G57" s="103">
        <f>SUM(G47:G56)</f>
        <v>0</v>
      </c>
      <c r="H57" s="79"/>
      <c r="I57" s="79"/>
      <c r="J57" s="79"/>
      <c r="K57" s="80"/>
    </row>
    <row r="58" spans="2:11" x14ac:dyDescent="0.25">
      <c r="B58" s="77"/>
      <c r="C58" s="78"/>
      <c r="D58" s="104"/>
      <c r="E58" s="78"/>
      <c r="F58" s="69"/>
      <c r="G58" s="105"/>
      <c r="H58" s="79"/>
      <c r="I58" s="79"/>
      <c r="J58" s="79"/>
      <c r="K58" s="80"/>
    </row>
    <row r="59" spans="2:11" x14ac:dyDescent="0.25">
      <c r="B59" s="77"/>
      <c r="C59" s="78"/>
      <c r="D59" s="106"/>
      <c r="E59" s="78"/>
      <c r="F59" s="78"/>
      <c r="G59" s="107"/>
      <c r="H59" s="91"/>
      <c r="I59" s="79"/>
      <c r="J59" s="79"/>
      <c r="K59" s="80"/>
    </row>
    <row r="60" spans="2:11" x14ac:dyDescent="0.25">
      <c r="B60" s="73">
        <v>6</v>
      </c>
      <c r="C60" s="96" t="s">
        <v>70</v>
      </c>
      <c r="D60" s="108" t="s">
        <v>71</v>
      </c>
      <c r="E60" s="108" t="s">
        <v>72</v>
      </c>
      <c r="F60" s="108" t="s">
        <v>73</v>
      </c>
      <c r="G60" s="108" t="s">
        <v>74</v>
      </c>
      <c r="H60" s="108" t="s">
        <v>75</v>
      </c>
      <c r="I60" s="79"/>
      <c r="J60" s="79"/>
      <c r="K60" s="80"/>
    </row>
    <row r="61" spans="2:11" x14ac:dyDescent="0.25">
      <c r="B61" s="77"/>
      <c r="C61" s="78" t="s">
        <v>76</v>
      </c>
      <c r="D61" s="67"/>
      <c r="E61" s="67"/>
      <c r="F61" s="67"/>
      <c r="G61" s="67"/>
      <c r="H61" s="109"/>
      <c r="I61" s="79"/>
      <c r="J61" s="79"/>
      <c r="K61" s="80"/>
    </row>
    <row r="62" spans="2:11" x14ac:dyDescent="0.25">
      <c r="B62" s="77">
        <v>1</v>
      </c>
      <c r="C62" s="110" t="s">
        <v>77</v>
      </c>
      <c r="D62" s="110">
        <v>0</v>
      </c>
      <c r="E62" s="110">
        <v>0</v>
      </c>
      <c r="F62" s="110">
        <v>0</v>
      </c>
      <c r="G62" s="110">
        <v>0</v>
      </c>
      <c r="H62" s="110">
        <v>0</v>
      </c>
      <c r="I62" s="79"/>
      <c r="J62" s="79"/>
      <c r="K62" s="80"/>
    </row>
    <row r="63" spans="2:11" x14ac:dyDescent="0.25">
      <c r="B63" s="77">
        <v>2</v>
      </c>
      <c r="C63" s="111" t="s">
        <v>78</v>
      </c>
      <c r="D63" s="110">
        <v>0</v>
      </c>
      <c r="E63" s="110">
        <v>0</v>
      </c>
      <c r="F63" s="110">
        <v>0</v>
      </c>
      <c r="G63" s="110">
        <v>0</v>
      </c>
      <c r="H63" s="110">
        <v>0</v>
      </c>
      <c r="I63" s="79"/>
      <c r="J63" s="79"/>
      <c r="K63" s="80"/>
    </row>
    <row r="64" spans="2:11" x14ac:dyDescent="0.25">
      <c r="B64" s="77">
        <v>3</v>
      </c>
      <c r="C64" s="111" t="s">
        <v>79</v>
      </c>
      <c r="D64" s="110">
        <v>0</v>
      </c>
      <c r="E64" s="110">
        <v>0</v>
      </c>
      <c r="F64" s="110">
        <v>0</v>
      </c>
      <c r="G64" s="110">
        <v>0</v>
      </c>
      <c r="H64" s="110">
        <v>0</v>
      </c>
      <c r="I64" s="79"/>
      <c r="J64" s="79"/>
      <c r="K64" s="80"/>
    </row>
    <row r="65" spans="2:11" x14ac:dyDescent="0.25">
      <c r="B65" s="77">
        <v>4</v>
      </c>
      <c r="C65" s="111" t="s">
        <v>80</v>
      </c>
      <c r="D65" s="110">
        <v>0</v>
      </c>
      <c r="E65" s="110">
        <v>0</v>
      </c>
      <c r="F65" s="110">
        <v>0</v>
      </c>
      <c r="G65" s="110">
        <v>0</v>
      </c>
      <c r="H65" s="110">
        <v>0</v>
      </c>
      <c r="I65" s="79"/>
      <c r="J65" s="79"/>
      <c r="K65" s="80"/>
    </row>
    <row r="66" spans="2:11" x14ac:dyDescent="0.25">
      <c r="B66" s="77">
        <v>5</v>
      </c>
      <c r="C66" s="111" t="s">
        <v>81</v>
      </c>
      <c r="D66" s="110">
        <v>0</v>
      </c>
      <c r="E66" s="110">
        <v>0</v>
      </c>
      <c r="F66" s="110">
        <v>0</v>
      </c>
      <c r="G66" s="110">
        <v>0</v>
      </c>
      <c r="H66" s="110">
        <v>0</v>
      </c>
      <c r="I66" s="79"/>
      <c r="J66" s="79"/>
      <c r="K66" s="80"/>
    </row>
    <row r="67" spans="2:11" x14ac:dyDescent="0.25">
      <c r="B67" s="77">
        <v>6</v>
      </c>
      <c r="C67" s="111" t="s">
        <v>82</v>
      </c>
      <c r="D67" s="110">
        <v>0</v>
      </c>
      <c r="E67" s="110">
        <v>0</v>
      </c>
      <c r="F67" s="110">
        <v>0</v>
      </c>
      <c r="G67" s="110">
        <v>0</v>
      </c>
      <c r="H67" s="110">
        <v>0</v>
      </c>
      <c r="I67" s="79"/>
      <c r="J67" s="79"/>
      <c r="K67" s="80"/>
    </row>
    <row r="68" spans="2:11" x14ac:dyDescent="0.25">
      <c r="B68" s="77">
        <v>7</v>
      </c>
      <c r="C68" s="111" t="s">
        <v>83</v>
      </c>
      <c r="D68" s="110">
        <v>0</v>
      </c>
      <c r="E68" s="110">
        <v>0</v>
      </c>
      <c r="F68" s="110">
        <v>0</v>
      </c>
      <c r="G68" s="110">
        <v>0</v>
      </c>
      <c r="H68" s="110">
        <v>0</v>
      </c>
      <c r="I68" s="79"/>
      <c r="J68" s="79"/>
      <c r="K68" s="80"/>
    </row>
    <row r="69" spans="2:11" x14ac:dyDescent="0.25">
      <c r="B69" s="77">
        <v>8</v>
      </c>
      <c r="C69" s="111" t="s">
        <v>84</v>
      </c>
      <c r="D69" s="110">
        <v>0</v>
      </c>
      <c r="E69" s="110">
        <v>0</v>
      </c>
      <c r="F69" s="110">
        <v>0</v>
      </c>
      <c r="G69" s="110">
        <v>0</v>
      </c>
      <c r="H69" s="110">
        <v>0</v>
      </c>
      <c r="I69" s="79"/>
      <c r="J69" s="79"/>
      <c r="K69" s="80"/>
    </row>
    <row r="70" spans="2:11" x14ac:dyDescent="0.25">
      <c r="B70" s="77">
        <v>9</v>
      </c>
      <c r="C70" s="111" t="s">
        <v>85</v>
      </c>
      <c r="D70" s="110">
        <v>0</v>
      </c>
      <c r="E70" s="110">
        <v>0</v>
      </c>
      <c r="F70" s="110">
        <v>0</v>
      </c>
      <c r="G70" s="110">
        <v>0</v>
      </c>
      <c r="H70" s="110">
        <v>0</v>
      </c>
      <c r="I70" s="79"/>
      <c r="J70" s="79"/>
      <c r="K70" s="80"/>
    </row>
    <row r="71" spans="2:11" x14ac:dyDescent="0.25">
      <c r="B71" s="77">
        <v>10</v>
      </c>
      <c r="C71" s="111" t="s">
        <v>86</v>
      </c>
      <c r="D71" s="110">
        <v>0</v>
      </c>
      <c r="E71" s="110">
        <v>0</v>
      </c>
      <c r="F71" s="110">
        <v>0</v>
      </c>
      <c r="G71" s="110">
        <v>0</v>
      </c>
      <c r="H71" s="110">
        <v>0</v>
      </c>
      <c r="I71" s="79"/>
      <c r="J71" s="79"/>
      <c r="K71" s="80"/>
    </row>
    <row r="72" spans="2:11" x14ac:dyDescent="0.25">
      <c r="B72" s="77">
        <v>11</v>
      </c>
      <c r="C72" s="111" t="s">
        <v>87</v>
      </c>
      <c r="D72" s="110">
        <v>0</v>
      </c>
      <c r="E72" s="110">
        <v>0</v>
      </c>
      <c r="F72" s="110">
        <v>0</v>
      </c>
      <c r="G72" s="110">
        <v>0</v>
      </c>
      <c r="H72" s="110">
        <v>0</v>
      </c>
      <c r="I72" s="79"/>
      <c r="J72" s="79"/>
      <c r="K72" s="80"/>
    </row>
    <row r="73" spans="2:11" x14ac:dyDescent="0.25">
      <c r="B73" s="77">
        <v>12</v>
      </c>
      <c r="C73" s="111" t="s">
        <v>88</v>
      </c>
      <c r="D73" s="110">
        <v>0</v>
      </c>
      <c r="E73" s="110">
        <v>0</v>
      </c>
      <c r="F73" s="110">
        <v>0</v>
      </c>
      <c r="G73" s="110">
        <v>0</v>
      </c>
      <c r="H73" s="110">
        <v>0</v>
      </c>
      <c r="I73" s="79"/>
      <c r="J73" s="79"/>
      <c r="K73" s="80"/>
    </row>
    <row r="74" spans="2:11" x14ac:dyDescent="0.25">
      <c r="B74" s="77">
        <v>13</v>
      </c>
      <c r="C74" s="111" t="s">
        <v>89</v>
      </c>
      <c r="D74" s="110">
        <v>0</v>
      </c>
      <c r="E74" s="110">
        <v>0</v>
      </c>
      <c r="F74" s="110">
        <v>0</v>
      </c>
      <c r="G74" s="110">
        <v>0</v>
      </c>
      <c r="H74" s="110">
        <v>0</v>
      </c>
      <c r="I74" s="79"/>
      <c r="J74" s="79"/>
      <c r="K74" s="80"/>
    </row>
    <row r="75" spans="2:11" x14ac:dyDescent="0.25">
      <c r="B75" s="77">
        <v>14</v>
      </c>
      <c r="C75" s="111" t="s">
        <v>90</v>
      </c>
      <c r="D75" s="110">
        <v>0</v>
      </c>
      <c r="E75" s="110">
        <v>0</v>
      </c>
      <c r="F75" s="110">
        <v>0</v>
      </c>
      <c r="G75" s="110">
        <v>0</v>
      </c>
      <c r="H75" s="110">
        <v>0</v>
      </c>
      <c r="I75" s="79"/>
      <c r="J75" s="79"/>
      <c r="K75" s="80"/>
    </row>
    <row r="76" spans="2:11" x14ac:dyDescent="0.25">
      <c r="B76" s="77">
        <v>15</v>
      </c>
      <c r="C76" s="111" t="s">
        <v>91</v>
      </c>
      <c r="D76" s="110">
        <v>0</v>
      </c>
      <c r="E76" s="110">
        <v>0</v>
      </c>
      <c r="F76" s="110">
        <v>0</v>
      </c>
      <c r="G76" s="110">
        <v>0</v>
      </c>
      <c r="H76" s="110">
        <v>0</v>
      </c>
      <c r="I76" s="79"/>
      <c r="J76" s="79"/>
      <c r="K76" s="80"/>
    </row>
    <row r="77" spans="2:11" x14ac:dyDescent="0.25">
      <c r="B77" s="77">
        <v>16</v>
      </c>
      <c r="C77" s="111" t="s">
        <v>92</v>
      </c>
      <c r="D77" s="110">
        <v>0</v>
      </c>
      <c r="E77" s="110">
        <v>0</v>
      </c>
      <c r="F77" s="110">
        <v>0</v>
      </c>
      <c r="G77" s="110">
        <v>0</v>
      </c>
      <c r="H77" s="110">
        <v>0</v>
      </c>
      <c r="I77" s="79"/>
      <c r="J77" s="79"/>
      <c r="K77" s="80"/>
    </row>
    <row r="78" spans="2:11" ht="16.5" thickBot="1" x14ac:dyDescent="0.3">
      <c r="B78" s="77"/>
      <c r="C78" s="112"/>
      <c r="D78" s="115"/>
      <c r="E78" s="115"/>
      <c r="F78" s="115"/>
      <c r="G78" s="114" t="s">
        <v>93</v>
      </c>
      <c r="H78" s="113">
        <f>SUM(H61:H77)</f>
        <v>0</v>
      </c>
      <c r="I78" s="79"/>
      <c r="J78" s="79"/>
      <c r="K78" s="80"/>
    </row>
    <row r="79" spans="2:11" x14ac:dyDescent="0.25">
      <c r="B79" s="233">
        <v>7</v>
      </c>
      <c r="C79" s="235" t="s">
        <v>7</v>
      </c>
      <c r="D79" s="238"/>
      <c r="E79" s="239"/>
      <c r="F79" s="239"/>
      <c r="G79" s="239"/>
      <c r="H79" s="239"/>
      <c r="I79" s="239"/>
      <c r="J79" s="239"/>
      <c r="K79" s="240"/>
    </row>
    <row r="80" spans="2:11" x14ac:dyDescent="0.25">
      <c r="B80" s="233"/>
      <c r="C80" s="236"/>
      <c r="D80" s="241"/>
      <c r="E80" s="242"/>
      <c r="F80" s="242"/>
      <c r="G80" s="242"/>
      <c r="H80" s="242"/>
      <c r="I80" s="242"/>
      <c r="J80" s="242"/>
      <c r="K80" s="243"/>
    </row>
    <row r="81" spans="2:11" x14ac:dyDescent="0.25">
      <c r="B81" s="233"/>
      <c r="C81" s="236"/>
      <c r="D81" s="241"/>
      <c r="E81" s="242"/>
      <c r="F81" s="242"/>
      <c r="G81" s="242"/>
      <c r="H81" s="242"/>
      <c r="I81" s="242"/>
      <c r="J81" s="242"/>
      <c r="K81" s="243"/>
    </row>
    <row r="82" spans="2:11" x14ac:dyDescent="0.25">
      <c r="B82" s="233"/>
      <c r="C82" s="236"/>
      <c r="D82" s="244"/>
      <c r="E82" s="245"/>
      <c r="F82" s="245"/>
      <c r="G82" s="245"/>
      <c r="H82" s="245"/>
      <c r="I82" s="245"/>
      <c r="J82" s="245"/>
      <c r="K82" s="246"/>
    </row>
    <row r="83" spans="2:11" x14ac:dyDescent="0.25">
      <c r="B83" s="233"/>
      <c r="C83" s="236"/>
      <c r="D83" s="247"/>
      <c r="E83" s="248"/>
      <c r="F83" s="248"/>
      <c r="G83" s="248"/>
      <c r="H83" s="248"/>
      <c r="I83" s="248"/>
      <c r="J83" s="248"/>
      <c r="K83" s="249"/>
    </row>
    <row r="84" spans="2:11" x14ac:dyDescent="0.25">
      <c r="B84" s="233"/>
      <c r="C84" s="236"/>
      <c r="D84" s="250"/>
      <c r="E84" s="251"/>
      <c r="F84" s="251"/>
      <c r="G84" s="251"/>
      <c r="H84" s="251"/>
      <c r="I84" s="251"/>
      <c r="J84" s="251"/>
      <c r="K84" s="252"/>
    </row>
    <row r="85" spans="2:11" x14ac:dyDescent="0.25">
      <c r="B85" s="233"/>
      <c r="C85" s="236"/>
      <c r="D85" s="218"/>
      <c r="E85" s="219"/>
      <c r="F85" s="219"/>
      <c r="G85" s="219"/>
      <c r="H85" s="219"/>
      <c r="I85" s="219"/>
      <c r="J85" s="219"/>
      <c r="K85" s="220"/>
    </row>
    <row r="86" spans="2:11" x14ac:dyDescent="0.25">
      <c r="B86" s="233"/>
      <c r="C86" s="236"/>
      <c r="D86" s="218"/>
      <c r="E86" s="219"/>
      <c r="F86" s="219"/>
      <c r="G86" s="219"/>
      <c r="H86" s="219"/>
      <c r="I86" s="219"/>
      <c r="J86" s="219"/>
      <c r="K86" s="220"/>
    </row>
    <row r="87" spans="2:11" ht="16.5" thickBot="1" x14ac:dyDescent="0.3">
      <c r="B87" s="234"/>
      <c r="C87" s="237"/>
      <c r="D87" s="221"/>
      <c r="E87" s="222"/>
      <c r="F87" s="222"/>
      <c r="G87" s="222"/>
      <c r="H87" s="222"/>
      <c r="I87" s="222"/>
      <c r="J87" s="222"/>
      <c r="K87" s="223"/>
    </row>
  </sheetData>
  <mergeCells count="14">
    <mergeCell ref="D85:K85"/>
    <mergeCell ref="D86:K86"/>
    <mergeCell ref="D87:K87"/>
    <mergeCell ref="B2:K2"/>
    <mergeCell ref="C3:K3"/>
    <mergeCell ref="D57:F57"/>
    <mergeCell ref="B79:B87"/>
    <mergeCell ref="C79:C87"/>
    <mergeCell ref="D79:K79"/>
    <mergeCell ref="D80:K80"/>
    <mergeCell ref="D81:K81"/>
    <mergeCell ref="D82:K82"/>
    <mergeCell ref="D83:K83"/>
    <mergeCell ref="D84:K8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7CFE-E4D1-43A5-BB9C-853338B62DE4}">
  <dimension ref="A1:G100"/>
  <sheetViews>
    <sheetView topLeftCell="A38" zoomScale="130" zoomScaleNormal="130" workbookViewId="0">
      <selection activeCell="C9" sqref="C9:D9"/>
    </sheetView>
  </sheetViews>
  <sheetFormatPr defaultRowHeight="15" x14ac:dyDescent="0.25"/>
  <cols>
    <col min="1" max="1" width="8.28515625" style="68" customWidth="1"/>
    <col min="2" max="2" width="39.5703125" style="7" customWidth="1"/>
    <col min="3" max="3" width="12.42578125" style="7" customWidth="1"/>
    <col min="4" max="4" width="54.85546875" style="7" bestFit="1" customWidth="1"/>
    <col min="5" max="5" width="35.28515625" style="68" bestFit="1" customWidth="1"/>
    <col min="6" max="6" width="33.42578125" customWidth="1"/>
    <col min="7" max="7" width="12.42578125" bestFit="1" customWidth="1"/>
  </cols>
  <sheetData>
    <row r="1" spans="1:7" ht="19.5" thickBot="1" x14ac:dyDescent="0.35">
      <c r="A1" s="295" t="s">
        <v>238</v>
      </c>
      <c r="B1" s="296"/>
      <c r="C1" s="296"/>
      <c r="D1" s="296"/>
      <c r="E1" s="296"/>
      <c r="F1" s="296"/>
      <c r="G1" s="296"/>
    </row>
    <row r="2" spans="1:7" ht="21" x14ac:dyDescent="0.35">
      <c r="A2" s="8" t="s">
        <v>94</v>
      </c>
      <c r="B2" s="297" t="s">
        <v>9</v>
      </c>
      <c r="C2" s="298"/>
      <c r="D2" s="298"/>
      <c r="E2" s="298"/>
      <c r="F2" s="298"/>
      <c r="G2" s="299"/>
    </row>
    <row r="3" spans="1:7" ht="15.75" x14ac:dyDescent="0.25">
      <c r="A3" s="9"/>
      <c r="B3" s="10"/>
      <c r="C3" s="300" t="s">
        <v>0</v>
      </c>
      <c r="D3" s="301"/>
      <c r="E3" s="11" t="s">
        <v>1</v>
      </c>
      <c r="F3" s="10" t="s">
        <v>95</v>
      </c>
      <c r="G3" s="12" t="s">
        <v>96</v>
      </c>
    </row>
    <row r="4" spans="1:7" x14ac:dyDescent="0.25">
      <c r="A4" s="13">
        <v>1</v>
      </c>
      <c r="B4" s="14" t="s">
        <v>3</v>
      </c>
      <c r="C4" s="293">
        <v>14</v>
      </c>
      <c r="D4" s="294"/>
      <c r="E4" s="15">
        <v>11</v>
      </c>
      <c r="F4" s="1">
        <f>+C4-E4</f>
        <v>3</v>
      </c>
      <c r="G4" s="16">
        <v>11</v>
      </c>
    </row>
    <row r="5" spans="1:7" ht="15.75" thickBot="1" x14ac:dyDescent="0.3">
      <c r="A5" s="13">
        <v>2</v>
      </c>
      <c r="B5" s="14" t="s">
        <v>4</v>
      </c>
      <c r="C5" s="293">
        <v>51</v>
      </c>
      <c r="D5" s="294"/>
      <c r="E5" s="15">
        <f>12+29</f>
        <v>41</v>
      </c>
      <c r="F5" s="1">
        <f>+C5-E5</f>
        <v>10</v>
      </c>
      <c r="G5" s="302">
        <f>98-11</f>
        <v>87</v>
      </c>
    </row>
    <row r="6" spans="1:7" ht="18.75" x14ac:dyDescent="0.25">
      <c r="A6" s="17">
        <v>3</v>
      </c>
      <c r="B6" s="18" t="s">
        <v>97</v>
      </c>
      <c r="C6" s="304" t="s">
        <v>98</v>
      </c>
      <c r="D6" s="305"/>
      <c r="E6" s="19" t="s">
        <v>1</v>
      </c>
      <c r="F6" s="20" t="s">
        <v>95</v>
      </c>
      <c r="G6" s="303"/>
    </row>
    <row r="7" spans="1:7" x14ac:dyDescent="0.25">
      <c r="A7" s="21" t="s">
        <v>12</v>
      </c>
      <c r="B7" s="2" t="s">
        <v>237</v>
      </c>
      <c r="C7" s="293">
        <v>11</v>
      </c>
      <c r="D7" s="294"/>
      <c r="E7" s="15">
        <v>11</v>
      </c>
      <c r="F7" s="1">
        <f>+C7-E7</f>
        <v>0</v>
      </c>
      <c r="G7" s="303"/>
    </row>
    <row r="8" spans="1:7" ht="15.75" thickBot="1" x14ac:dyDescent="0.3">
      <c r="A8" s="21" t="s">
        <v>13</v>
      </c>
      <c r="B8" s="2" t="s">
        <v>99</v>
      </c>
      <c r="C8" s="293">
        <v>17</v>
      </c>
      <c r="D8" s="294"/>
      <c r="E8" s="15">
        <f>13+2</f>
        <v>15</v>
      </c>
      <c r="F8" s="1">
        <f>+C8-E8</f>
        <v>2</v>
      </c>
      <c r="G8" s="303"/>
    </row>
    <row r="9" spans="1:7" ht="19.5" thickBot="1" x14ac:dyDescent="0.3">
      <c r="A9" s="22"/>
      <c r="B9" s="23" t="s">
        <v>100</v>
      </c>
      <c r="C9" s="287">
        <f>SUM(C4:D8)</f>
        <v>93</v>
      </c>
      <c r="D9" s="288"/>
      <c r="E9" s="24">
        <f>SUM(E4:E8)</f>
        <v>78</v>
      </c>
      <c r="F9" s="24">
        <f>SUM(F4:F8)</f>
        <v>15</v>
      </c>
      <c r="G9" s="25">
        <f>SUM(G4:G8)</f>
        <v>98</v>
      </c>
    </row>
    <row r="10" spans="1:7" ht="18.75" x14ac:dyDescent="0.25">
      <c r="A10" s="17">
        <v>4</v>
      </c>
      <c r="B10" s="18" t="s">
        <v>15</v>
      </c>
      <c r="C10" s="289"/>
      <c r="D10" s="290"/>
      <c r="E10" s="26"/>
      <c r="F10" s="27"/>
      <c r="G10" s="291"/>
    </row>
    <row r="11" spans="1:7" ht="15.75" thickBot="1" x14ac:dyDescent="0.3">
      <c r="A11" s="21" t="s">
        <v>12</v>
      </c>
      <c r="B11" s="2" t="s">
        <v>168</v>
      </c>
      <c r="C11" s="293">
        <v>15</v>
      </c>
      <c r="D11" s="294"/>
      <c r="E11" s="15">
        <v>13</v>
      </c>
      <c r="F11" s="1">
        <f>+C11-E11</f>
        <v>2</v>
      </c>
      <c r="G11" s="292"/>
    </row>
    <row r="12" spans="1:7" ht="18.75" x14ac:dyDescent="0.25">
      <c r="A12" s="17">
        <v>5</v>
      </c>
      <c r="B12" s="18" t="s">
        <v>101</v>
      </c>
      <c r="C12" s="289"/>
      <c r="D12" s="290"/>
      <c r="E12" s="26"/>
      <c r="F12" s="27"/>
      <c r="G12" s="291"/>
    </row>
    <row r="13" spans="1:7" ht="15.75" thickBot="1" x14ac:dyDescent="0.3">
      <c r="A13" s="21" t="s">
        <v>12</v>
      </c>
      <c r="B13" s="2" t="s">
        <v>102</v>
      </c>
      <c r="C13" s="293">
        <v>2</v>
      </c>
      <c r="D13" s="294"/>
      <c r="E13" s="15">
        <v>2</v>
      </c>
      <c r="F13" s="1">
        <f>+C13-E13</f>
        <v>0</v>
      </c>
      <c r="G13" s="292"/>
    </row>
    <row r="14" spans="1:7" ht="56.25" x14ac:dyDescent="0.25">
      <c r="A14" s="17">
        <v>6</v>
      </c>
      <c r="B14" s="20" t="s">
        <v>6</v>
      </c>
      <c r="C14" s="20" t="s">
        <v>103</v>
      </c>
      <c r="D14" s="20" t="s">
        <v>104</v>
      </c>
      <c r="E14" s="20" t="s">
        <v>105</v>
      </c>
      <c r="F14" s="28" t="s">
        <v>106</v>
      </c>
      <c r="G14" s="29" t="s">
        <v>107</v>
      </c>
    </row>
    <row r="15" spans="1:7" ht="16.5" x14ac:dyDescent="0.25">
      <c r="A15" s="253" t="s">
        <v>12</v>
      </c>
      <c r="B15" s="280" t="s">
        <v>108</v>
      </c>
      <c r="C15" s="283">
        <v>4500205759</v>
      </c>
      <c r="D15" s="31" t="s">
        <v>109</v>
      </c>
      <c r="E15" s="30" t="s">
        <v>110</v>
      </c>
      <c r="F15" s="32">
        <v>4766.7299999999996</v>
      </c>
      <c r="G15" s="33"/>
    </row>
    <row r="16" spans="1:7" ht="16.5" x14ac:dyDescent="0.25">
      <c r="A16" s="254"/>
      <c r="B16" s="281"/>
      <c r="C16" s="283"/>
      <c r="D16" s="31" t="s">
        <v>111</v>
      </c>
      <c r="E16" s="30" t="s">
        <v>112</v>
      </c>
      <c r="F16" s="32">
        <v>135.84</v>
      </c>
      <c r="G16" s="33"/>
    </row>
    <row r="17" spans="1:7" ht="16.5" x14ac:dyDescent="0.25">
      <c r="A17" s="255"/>
      <c r="B17" s="282"/>
      <c r="C17" s="283"/>
      <c r="D17" s="31" t="s">
        <v>113</v>
      </c>
      <c r="E17" s="30" t="s">
        <v>112</v>
      </c>
      <c r="F17" s="32">
        <v>95.49</v>
      </c>
      <c r="G17" s="33"/>
    </row>
    <row r="18" spans="1:7" ht="16.5" x14ac:dyDescent="0.25">
      <c r="A18" s="253" t="s">
        <v>13</v>
      </c>
      <c r="B18" s="280" t="s">
        <v>114</v>
      </c>
      <c r="C18" s="284">
        <v>4500205760</v>
      </c>
      <c r="D18" s="31" t="s">
        <v>109</v>
      </c>
      <c r="E18" s="30" t="s">
        <v>115</v>
      </c>
      <c r="F18" s="32">
        <v>5089.7299999999996</v>
      </c>
      <c r="G18" s="33"/>
    </row>
    <row r="19" spans="1:7" ht="16.5" x14ac:dyDescent="0.25">
      <c r="A19" s="254"/>
      <c r="B19" s="281"/>
      <c r="C19" s="284"/>
      <c r="D19" s="31" t="s">
        <v>111</v>
      </c>
      <c r="E19" s="30" t="s">
        <v>112</v>
      </c>
      <c r="F19" s="32">
        <v>405.85</v>
      </c>
      <c r="G19" s="33"/>
    </row>
    <row r="20" spans="1:7" ht="16.5" x14ac:dyDescent="0.25">
      <c r="A20" s="255"/>
      <c r="B20" s="282"/>
      <c r="C20" s="284"/>
      <c r="D20" s="31" t="s">
        <v>113</v>
      </c>
      <c r="E20" s="30" t="s">
        <v>112</v>
      </c>
      <c r="F20" s="32">
        <v>95.23</v>
      </c>
      <c r="G20" s="33"/>
    </row>
    <row r="21" spans="1:7" ht="30" customHeight="1" x14ac:dyDescent="0.25">
      <c r="A21" s="253" t="s">
        <v>14</v>
      </c>
      <c r="B21" s="280" t="s">
        <v>116</v>
      </c>
      <c r="C21" s="284">
        <v>4500203332</v>
      </c>
      <c r="D21" s="34" t="s">
        <v>117</v>
      </c>
      <c r="E21" s="30" t="s">
        <v>118</v>
      </c>
      <c r="F21" s="32">
        <v>179</v>
      </c>
      <c r="G21" s="33"/>
    </row>
    <row r="22" spans="1:7" ht="16.5" x14ac:dyDescent="0.25">
      <c r="A22" s="254"/>
      <c r="B22" s="281"/>
      <c r="C22" s="284"/>
      <c r="D22" s="35" t="s">
        <v>119</v>
      </c>
      <c r="E22" s="30" t="s">
        <v>120</v>
      </c>
      <c r="F22" s="32">
        <v>274.19499999999999</v>
      </c>
      <c r="G22" s="33"/>
    </row>
    <row r="23" spans="1:7" ht="16.5" x14ac:dyDescent="0.25">
      <c r="A23" s="254"/>
      <c r="B23" s="281"/>
      <c r="C23" s="284"/>
      <c r="D23" s="35" t="s">
        <v>121</v>
      </c>
      <c r="E23" s="30" t="s">
        <v>122</v>
      </c>
      <c r="F23" s="32">
        <v>650.05999999999995</v>
      </c>
      <c r="G23" s="33"/>
    </row>
    <row r="24" spans="1:7" ht="30" x14ac:dyDescent="0.25">
      <c r="A24" s="254"/>
      <c r="B24" s="281"/>
      <c r="C24" s="284"/>
      <c r="D24" s="36" t="s">
        <v>123</v>
      </c>
      <c r="E24" s="30" t="s">
        <v>124</v>
      </c>
      <c r="F24" s="32">
        <v>193.60499999999999</v>
      </c>
      <c r="G24" s="117"/>
    </row>
    <row r="25" spans="1:7" x14ac:dyDescent="0.25">
      <c r="A25" s="254"/>
      <c r="B25" s="281"/>
      <c r="C25" s="284"/>
      <c r="D25" s="35" t="s">
        <v>125</v>
      </c>
      <c r="E25" s="30" t="s">
        <v>126</v>
      </c>
      <c r="F25" s="32">
        <v>23</v>
      </c>
      <c r="G25" s="33"/>
    </row>
    <row r="26" spans="1:7" ht="30" customHeight="1" x14ac:dyDescent="0.25">
      <c r="A26" s="254"/>
      <c r="B26" s="281"/>
      <c r="C26" s="284"/>
      <c r="D26" s="34" t="s">
        <v>127</v>
      </c>
      <c r="E26" s="30" t="s">
        <v>118</v>
      </c>
      <c r="F26" s="32">
        <v>475</v>
      </c>
      <c r="G26" s="117"/>
    </row>
    <row r="27" spans="1:7" ht="30" customHeight="1" x14ac:dyDescent="0.25">
      <c r="A27" s="254"/>
      <c r="B27" s="281"/>
      <c r="C27" s="284"/>
      <c r="D27" s="34" t="s">
        <v>127</v>
      </c>
      <c r="E27" s="30" t="s">
        <v>118</v>
      </c>
      <c r="F27" s="32">
        <v>427</v>
      </c>
      <c r="G27" s="117"/>
    </row>
    <row r="28" spans="1:7" ht="30.75" customHeight="1" thickBot="1" x14ac:dyDescent="0.3">
      <c r="A28" s="265"/>
      <c r="B28" s="285"/>
      <c r="C28" s="286"/>
      <c r="D28" s="37" t="s">
        <v>128</v>
      </c>
      <c r="E28" s="38" t="s">
        <v>129</v>
      </c>
      <c r="F28" s="32">
        <v>15.94</v>
      </c>
      <c r="G28" s="116"/>
    </row>
    <row r="29" spans="1:7" s="42" customFormat="1" x14ac:dyDescent="0.25">
      <c r="A29" s="17">
        <v>7</v>
      </c>
      <c r="B29" s="39" t="s">
        <v>130</v>
      </c>
      <c r="C29" s="39" t="s">
        <v>131</v>
      </c>
      <c r="D29" s="40" t="s">
        <v>132</v>
      </c>
      <c r="E29" s="40" t="s">
        <v>133</v>
      </c>
      <c r="F29" s="39" t="s">
        <v>134</v>
      </c>
      <c r="G29" s="41" t="s">
        <v>135</v>
      </c>
    </row>
    <row r="30" spans="1:7" x14ac:dyDescent="0.25">
      <c r="A30" s="253" t="s">
        <v>12</v>
      </c>
      <c r="B30" s="256" t="s">
        <v>136</v>
      </c>
      <c r="C30" s="43">
        <v>5064</v>
      </c>
      <c r="D30" s="44" t="s">
        <v>137</v>
      </c>
      <c r="E30" s="45"/>
      <c r="F30" s="46" t="s">
        <v>138</v>
      </c>
      <c r="G30" s="47"/>
    </row>
    <row r="31" spans="1:7" ht="30" x14ac:dyDescent="0.25">
      <c r="A31" s="254"/>
      <c r="B31" s="257"/>
      <c r="C31" s="43">
        <v>5317</v>
      </c>
      <c r="D31" s="44" t="s">
        <v>139</v>
      </c>
      <c r="E31" s="45"/>
      <c r="F31" s="46" t="s">
        <v>140</v>
      </c>
      <c r="G31" s="47"/>
    </row>
    <row r="32" spans="1:7" ht="30" x14ac:dyDescent="0.25">
      <c r="A32" s="254"/>
      <c r="B32" s="257"/>
      <c r="C32" s="43"/>
      <c r="D32" s="44" t="s">
        <v>141</v>
      </c>
      <c r="E32" s="45"/>
      <c r="F32" s="46" t="s">
        <v>140</v>
      </c>
      <c r="G32" s="47"/>
    </row>
    <row r="33" spans="1:7" x14ac:dyDescent="0.25">
      <c r="A33" s="254"/>
      <c r="B33" s="257"/>
      <c r="C33" s="43"/>
      <c r="D33" s="44" t="s">
        <v>142</v>
      </c>
      <c r="E33" s="45"/>
      <c r="F33" s="46" t="s">
        <v>143</v>
      </c>
      <c r="G33" s="47"/>
    </row>
    <row r="34" spans="1:7" x14ac:dyDescent="0.25">
      <c r="A34" s="254"/>
      <c r="B34" s="257"/>
      <c r="C34" s="43"/>
      <c r="D34" s="44" t="s">
        <v>144</v>
      </c>
      <c r="E34" s="45"/>
      <c r="F34" s="46" t="s">
        <v>143</v>
      </c>
      <c r="G34" s="47"/>
    </row>
    <row r="35" spans="1:7" x14ac:dyDescent="0.25">
      <c r="A35" s="254"/>
      <c r="B35" s="257"/>
      <c r="C35" s="43"/>
      <c r="D35" s="44" t="s">
        <v>145</v>
      </c>
      <c r="E35" s="48"/>
      <c r="F35" s="46" t="s">
        <v>143</v>
      </c>
      <c r="G35" s="47"/>
    </row>
    <row r="36" spans="1:7" x14ac:dyDescent="0.25">
      <c r="A36" s="254"/>
      <c r="B36" s="257"/>
      <c r="C36" s="43"/>
      <c r="D36" s="44" t="s">
        <v>146</v>
      </c>
      <c r="E36" s="44"/>
      <c r="F36" s="46" t="s">
        <v>143</v>
      </c>
      <c r="G36" s="47"/>
    </row>
    <row r="37" spans="1:7" x14ac:dyDescent="0.25">
      <c r="A37" s="254"/>
      <c r="B37" s="257"/>
      <c r="C37" s="43"/>
      <c r="D37" s="44" t="s">
        <v>147</v>
      </c>
      <c r="E37" s="44"/>
      <c r="F37" s="46" t="s">
        <v>143</v>
      </c>
      <c r="G37" s="47"/>
    </row>
    <row r="38" spans="1:7" x14ac:dyDescent="0.25">
      <c r="A38" s="254"/>
      <c r="B38" s="257"/>
      <c r="C38" s="43"/>
      <c r="D38" s="44" t="s">
        <v>167</v>
      </c>
      <c r="E38" s="44"/>
      <c r="F38" s="46" t="s">
        <v>143</v>
      </c>
      <c r="G38" s="47"/>
    </row>
    <row r="39" spans="1:7" x14ac:dyDescent="0.25">
      <c r="A39" s="254"/>
      <c r="B39" s="257"/>
      <c r="C39" s="43"/>
      <c r="D39" s="44" t="s">
        <v>170</v>
      </c>
      <c r="E39" s="44"/>
      <c r="F39" s="46" t="s">
        <v>143</v>
      </c>
      <c r="G39" s="47"/>
    </row>
    <row r="40" spans="1:7" x14ac:dyDescent="0.25">
      <c r="A40" s="254"/>
      <c r="B40" s="257"/>
      <c r="C40" s="43"/>
      <c r="D40" s="44" t="s">
        <v>171</v>
      </c>
      <c r="E40" s="44"/>
      <c r="F40" s="46" t="s">
        <v>143</v>
      </c>
      <c r="G40" s="47"/>
    </row>
    <row r="41" spans="1:7" x14ac:dyDescent="0.25">
      <c r="A41" s="254"/>
      <c r="B41" s="257"/>
      <c r="C41" s="43"/>
      <c r="D41" s="44" t="s">
        <v>177</v>
      </c>
      <c r="E41" s="44"/>
      <c r="F41" s="46" t="s">
        <v>143</v>
      </c>
      <c r="G41" s="47"/>
    </row>
    <row r="42" spans="1:7" x14ac:dyDescent="0.25">
      <c r="A42" s="254"/>
      <c r="B42" s="257"/>
      <c r="C42" s="43"/>
      <c r="D42" s="44" t="s">
        <v>236</v>
      </c>
      <c r="E42" s="44"/>
      <c r="F42" s="46" t="s">
        <v>143</v>
      </c>
      <c r="G42" s="47"/>
    </row>
    <row r="43" spans="1:7" x14ac:dyDescent="0.25">
      <c r="A43" s="255"/>
      <c r="B43" s="49" t="s">
        <v>149</v>
      </c>
      <c r="C43" s="50">
        <v>13</v>
      </c>
      <c r="D43" s="3">
        <v>13</v>
      </c>
      <c r="E43" s="51"/>
      <c r="F43" s="52">
        <v>13</v>
      </c>
      <c r="G43" s="53"/>
    </row>
    <row r="44" spans="1:7" x14ac:dyDescent="0.25">
      <c r="A44" s="253" t="s">
        <v>13</v>
      </c>
      <c r="B44" s="256" t="s">
        <v>150</v>
      </c>
      <c r="C44" s="43"/>
      <c r="D44" s="44" t="s">
        <v>235</v>
      </c>
      <c r="E44" s="44" t="s">
        <v>179</v>
      </c>
      <c r="F44" s="48"/>
      <c r="G44" s="47" t="s">
        <v>159</v>
      </c>
    </row>
    <row r="45" spans="1:7" x14ac:dyDescent="0.25">
      <c r="A45" s="254"/>
      <c r="B45" s="257"/>
      <c r="C45" s="43"/>
      <c r="D45" s="44" t="s">
        <v>234</v>
      </c>
      <c r="E45" s="44" t="s">
        <v>179</v>
      </c>
      <c r="F45" s="48"/>
      <c r="G45" s="47" t="s">
        <v>159</v>
      </c>
    </row>
    <row r="46" spans="1:7" x14ac:dyDescent="0.25">
      <c r="A46" s="255"/>
      <c r="B46" s="49" t="s">
        <v>149</v>
      </c>
      <c r="C46" s="3">
        <v>2</v>
      </c>
      <c r="D46" s="5">
        <v>2</v>
      </c>
      <c r="E46" s="54">
        <v>2</v>
      </c>
      <c r="F46" s="55"/>
      <c r="G46" s="56"/>
    </row>
    <row r="47" spans="1:7" x14ac:dyDescent="0.25">
      <c r="A47" s="253" t="s">
        <v>14</v>
      </c>
      <c r="B47" s="256" t="s">
        <v>151</v>
      </c>
      <c r="C47" s="43">
        <v>5888</v>
      </c>
      <c r="D47" s="44" t="s">
        <v>152</v>
      </c>
      <c r="E47" s="48"/>
      <c r="F47" s="46" t="s">
        <v>153</v>
      </c>
      <c r="G47" s="47"/>
    </row>
    <row r="48" spans="1:7" x14ac:dyDescent="0.25">
      <c r="A48" s="254"/>
      <c r="B48" s="257"/>
      <c r="C48" s="43">
        <v>6769</v>
      </c>
      <c r="D48" s="44" t="s">
        <v>154</v>
      </c>
      <c r="E48" s="48"/>
      <c r="F48" s="46" t="s">
        <v>153</v>
      </c>
      <c r="G48" s="47"/>
    </row>
    <row r="49" spans="1:7" x14ac:dyDescent="0.25">
      <c r="A49" s="254"/>
      <c r="B49" s="257"/>
      <c r="C49" s="43"/>
      <c r="D49" s="44" t="s">
        <v>233</v>
      </c>
      <c r="E49" s="48"/>
      <c r="F49" s="46" t="s">
        <v>153</v>
      </c>
      <c r="G49" s="47"/>
    </row>
    <row r="50" spans="1:7" x14ac:dyDescent="0.25">
      <c r="A50" s="254"/>
      <c r="B50" s="257"/>
      <c r="C50" s="43">
        <v>8893</v>
      </c>
      <c r="D50" s="44" t="s">
        <v>156</v>
      </c>
      <c r="E50" s="48"/>
      <c r="F50" s="46" t="s">
        <v>155</v>
      </c>
      <c r="G50" s="47"/>
    </row>
    <row r="51" spans="1:7" x14ac:dyDescent="0.25">
      <c r="A51" s="254"/>
      <c r="B51" s="257"/>
      <c r="C51" s="43">
        <v>9203</v>
      </c>
      <c r="D51" s="44" t="s">
        <v>166</v>
      </c>
      <c r="E51" s="48"/>
      <c r="F51" s="46" t="s">
        <v>153</v>
      </c>
      <c r="G51" s="47"/>
    </row>
    <row r="52" spans="1:7" x14ac:dyDescent="0.25">
      <c r="A52" s="254"/>
      <c r="B52" s="257"/>
      <c r="C52" s="43">
        <v>9235</v>
      </c>
      <c r="D52" s="44" t="s">
        <v>232</v>
      </c>
      <c r="E52" s="44"/>
      <c r="F52" s="46" t="s">
        <v>143</v>
      </c>
      <c r="G52" s="47"/>
    </row>
    <row r="53" spans="1:7" x14ac:dyDescent="0.25">
      <c r="A53" s="254"/>
      <c r="B53" s="257"/>
      <c r="C53" s="43">
        <v>9321</v>
      </c>
      <c r="D53" s="44" t="s">
        <v>165</v>
      </c>
      <c r="E53" s="44"/>
      <c r="F53" s="46" t="s">
        <v>143</v>
      </c>
      <c r="G53" s="47"/>
    </row>
    <row r="54" spans="1:7" x14ac:dyDescent="0.25">
      <c r="A54" s="254"/>
      <c r="B54" s="257"/>
      <c r="C54" s="43">
        <v>9426</v>
      </c>
      <c r="D54" s="44" t="s">
        <v>231</v>
      </c>
      <c r="E54" s="44"/>
      <c r="F54" s="46" t="s">
        <v>153</v>
      </c>
      <c r="G54" s="47"/>
    </row>
    <row r="55" spans="1:7" x14ac:dyDescent="0.25">
      <c r="A55" s="254"/>
      <c r="B55" s="257"/>
      <c r="C55" s="43">
        <v>9647</v>
      </c>
      <c r="D55" s="44" t="s">
        <v>172</v>
      </c>
      <c r="E55" s="44"/>
      <c r="F55" s="46" t="s">
        <v>153</v>
      </c>
      <c r="G55" s="47"/>
    </row>
    <row r="56" spans="1:7" x14ac:dyDescent="0.25">
      <c r="A56" s="254"/>
      <c r="B56" s="257"/>
      <c r="C56" s="43">
        <v>9664</v>
      </c>
      <c r="D56" s="44" t="s">
        <v>189</v>
      </c>
      <c r="E56" s="44"/>
      <c r="F56" s="46" t="s">
        <v>143</v>
      </c>
      <c r="G56" s="47"/>
    </row>
    <row r="57" spans="1:7" x14ac:dyDescent="0.25">
      <c r="A57" s="254"/>
      <c r="B57" s="257"/>
      <c r="C57" s="43">
        <v>9699</v>
      </c>
      <c r="D57" s="44" t="s">
        <v>174</v>
      </c>
      <c r="E57" s="44"/>
      <c r="F57" s="46" t="s">
        <v>153</v>
      </c>
      <c r="G57" s="47"/>
    </row>
    <row r="58" spans="1:7" x14ac:dyDescent="0.25">
      <c r="A58" s="254"/>
      <c r="B58" s="257"/>
      <c r="C58" s="43">
        <v>9762</v>
      </c>
      <c r="D58" s="44" t="s">
        <v>230</v>
      </c>
      <c r="E58" s="44"/>
      <c r="F58" s="46" t="s">
        <v>143</v>
      </c>
      <c r="G58" s="47"/>
    </row>
    <row r="59" spans="1:7" x14ac:dyDescent="0.25">
      <c r="A59" s="254"/>
      <c r="B59" s="257"/>
      <c r="C59" s="43">
        <v>9751</v>
      </c>
      <c r="D59" s="44" t="s">
        <v>229</v>
      </c>
      <c r="E59" s="44"/>
      <c r="F59" s="46" t="s">
        <v>143</v>
      </c>
      <c r="G59" s="47"/>
    </row>
    <row r="60" spans="1:7" x14ac:dyDescent="0.25">
      <c r="A60" s="254"/>
      <c r="B60" s="257"/>
      <c r="C60" s="43">
        <v>9781</v>
      </c>
      <c r="D60" s="44" t="s">
        <v>176</v>
      </c>
      <c r="E60" s="44"/>
      <c r="F60" s="46" t="s">
        <v>153</v>
      </c>
      <c r="G60" s="47"/>
    </row>
    <row r="61" spans="1:7" x14ac:dyDescent="0.25">
      <c r="A61" s="254"/>
      <c r="B61" s="257"/>
      <c r="C61" s="43">
        <v>9850</v>
      </c>
      <c r="D61" s="44" t="s">
        <v>178</v>
      </c>
      <c r="E61" s="44"/>
      <c r="F61" s="46" t="s">
        <v>153</v>
      </c>
      <c r="G61" s="47"/>
    </row>
    <row r="62" spans="1:7" x14ac:dyDescent="0.25">
      <c r="A62" s="254"/>
      <c r="B62" s="257"/>
      <c r="C62" s="43">
        <v>9936</v>
      </c>
      <c r="D62" s="44" t="s">
        <v>181</v>
      </c>
      <c r="E62" s="44"/>
      <c r="F62" s="46" t="s">
        <v>153</v>
      </c>
      <c r="G62" s="47"/>
    </row>
    <row r="63" spans="1:7" x14ac:dyDescent="0.25">
      <c r="A63" s="254"/>
      <c r="B63" s="257"/>
      <c r="C63" s="43">
        <v>9996</v>
      </c>
      <c r="D63" s="44" t="s">
        <v>180</v>
      </c>
      <c r="E63" s="44"/>
      <c r="F63" s="46" t="s">
        <v>143</v>
      </c>
      <c r="G63" s="47"/>
    </row>
    <row r="64" spans="1:7" x14ac:dyDescent="0.25">
      <c r="A64" s="254"/>
      <c r="B64" s="257"/>
      <c r="C64" s="43">
        <v>10070</v>
      </c>
      <c r="D64" s="44" t="s">
        <v>182</v>
      </c>
      <c r="E64" s="44"/>
      <c r="F64" s="46" t="s">
        <v>143</v>
      </c>
      <c r="G64" s="47"/>
    </row>
    <row r="65" spans="1:7" x14ac:dyDescent="0.25">
      <c r="A65" s="254"/>
      <c r="B65" s="257"/>
      <c r="C65" s="43">
        <v>10145</v>
      </c>
      <c r="D65" s="44" t="s">
        <v>188</v>
      </c>
      <c r="E65" s="44"/>
      <c r="F65" s="46" t="s">
        <v>153</v>
      </c>
      <c r="G65" s="47"/>
    </row>
    <row r="66" spans="1:7" x14ac:dyDescent="0.25">
      <c r="A66" s="254"/>
      <c r="B66" s="257"/>
      <c r="C66" s="43">
        <v>10127</v>
      </c>
      <c r="D66" s="44" t="s">
        <v>187</v>
      </c>
      <c r="E66" s="44"/>
      <c r="F66" s="46" t="s">
        <v>153</v>
      </c>
      <c r="G66" s="47"/>
    </row>
    <row r="67" spans="1:7" x14ac:dyDescent="0.25">
      <c r="A67" s="254"/>
      <c r="B67" s="257"/>
      <c r="C67" s="43">
        <v>10154</v>
      </c>
      <c r="D67" s="44" t="s">
        <v>186</v>
      </c>
      <c r="E67" s="44"/>
      <c r="F67" s="46" t="s">
        <v>153</v>
      </c>
      <c r="G67" s="47"/>
    </row>
    <row r="68" spans="1:7" x14ac:dyDescent="0.25">
      <c r="A68" s="254"/>
      <c r="B68" s="257"/>
      <c r="C68" s="43">
        <v>10169</v>
      </c>
      <c r="D68" s="44" t="s">
        <v>185</v>
      </c>
      <c r="E68" s="44"/>
      <c r="F68" s="46" t="s">
        <v>153</v>
      </c>
      <c r="G68" s="47"/>
    </row>
    <row r="69" spans="1:7" x14ac:dyDescent="0.25">
      <c r="A69" s="254"/>
      <c r="B69" s="257"/>
      <c r="C69" s="43">
        <v>10179</v>
      </c>
      <c r="D69" s="44" t="s">
        <v>184</v>
      </c>
      <c r="E69" s="44"/>
      <c r="F69" s="46" t="s">
        <v>153</v>
      </c>
      <c r="G69" s="47"/>
    </row>
    <row r="70" spans="1:7" x14ac:dyDescent="0.25">
      <c r="A70" s="254"/>
      <c r="B70" s="257"/>
      <c r="C70" s="43">
        <v>10180</v>
      </c>
      <c r="D70" s="44" t="s">
        <v>228</v>
      </c>
      <c r="E70" s="44"/>
      <c r="F70" s="46" t="s">
        <v>153</v>
      </c>
      <c r="G70" s="47"/>
    </row>
    <row r="71" spans="1:7" x14ac:dyDescent="0.25">
      <c r="A71" s="254"/>
      <c r="B71" s="257"/>
      <c r="C71" s="43">
        <v>10279</v>
      </c>
      <c r="D71" s="44" t="s">
        <v>227</v>
      </c>
      <c r="E71" s="44"/>
      <c r="F71" s="46" t="s">
        <v>153</v>
      </c>
      <c r="G71" s="47"/>
    </row>
    <row r="72" spans="1:7" x14ac:dyDescent="0.25">
      <c r="A72" s="254"/>
      <c r="B72" s="257"/>
      <c r="C72" s="43">
        <v>10318</v>
      </c>
      <c r="D72" s="44" t="s">
        <v>190</v>
      </c>
      <c r="E72" s="44"/>
      <c r="F72" s="46" t="s">
        <v>153</v>
      </c>
      <c r="G72" s="47"/>
    </row>
    <row r="73" spans="1:7" x14ac:dyDescent="0.25">
      <c r="A73" s="254"/>
      <c r="B73" s="57" t="s">
        <v>149</v>
      </c>
      <c r="C73" s="4">
        <v>26</v>
      </c>
      <c r="D73" s="4">
        <v>26</v>
      </c>
      <c r="E73" s="58"/>
      <c r="F73" s="59">
        <v>26</v>
      </c>
      <c r="G73" s="53"/>
    </row>
    <row r="74" spans="1:7" x14ac:dyDescent="0.25">
      <c r="A74" s="253" t="s">
        <v>157</v>
      </c>
      <c r="B74" s="256" t="s">
        <v>158</v>
      </c>
      <c r="C74" s="60">
        <v>10305</v>
      </c>
      <c r="D74" s="61" t="s">
        <v>226</v>
      </c>
      <c r="E74" s="61" t="s">
        <v>191</v>
      </c>
      <c r="F74" s="62"/>
      <c r="G74" s="63" t="s">
        <v>148</v>
      </c>
    </row>
    <row r="75" spans="1:7" x14ac:dyDescent="0.25">
      <c r="A75" s="254"/>
      <c r="B75" s="257"/>
      <c r="C75" s="60">
        <v>10303</v>
      </c>
      <c r="D75" s="61" t="s">
        <v>225</v>
      </c>
      <c r="E75" s="61" t="s">
        <v>224</v>
      </c>
      <c r="F75" s="62"/>
      <c r="G75" s="63" t="s">
        <v>148</v>
      </c>
    </row>
    <row r="76" spans="1:7" x14ac:dyDescent="0.25">
      <c r="A76" s="254"/>
      <c r="B76" s="257"/>
      <c r="C76" s="60">
        <v>10280</v>
      </c>
      <c r="D76" s="61" t="s">
        <v>223</v>
      </c>
      <c r="E76" s="61" t="s">
        <v>222</v>
      </c>
      <c r="F76" s="62"/>
      <c r="G76" s="63" t="s">
        <v>148</v>
      </c>
    </row>
    <row r="77" spans="1:7" x14ac:dyDescent="0.25">
      <c r="A77" s="254"/>
      <c r="B77" s="257"/>
      <c r="C77" s="60">
        <v>10283</v>
      </c>
      <c r="D77" s="61" t="s">
        <v>221</v>
      </c>
      <c r="E77" s="61" t="s">
        <v>220</v>
      </c>
      <c r="F77" s="62"/>
      <c r="G77" s="63" t="s">
        <v>148</v>
      </c>
    </row>
    <row r="78" spans="1:7" x14ac:dyDescent="0.25">
      <c r="A78" s="254"/>
      <c r="B78" s="257"/>
      <c r="C78" s="60">
        <v>9698</v>
      </c>
      <c r="D78" s="61" t="s">
        <v>219</v>
      </c>
      <c r="E78" s="61" t="s">
        <v>218</v>
      </c>
      <c r="F78" s="62"/>
      <c r="G78" s="63" t="s">
        <v>148</v>
      </c>
    </row>
    <row r="79" spans="1:7" x14ac:dyDescent="0.25">
      <c r="A79" s="254"/>
      <c r="B79" s="257"/>
      <c r="C79" s="60">
        <v>10289</v>
      </c>
      <c r="D79" s="61" t="s">
        <v>217</v>
      </c>
      <c r="E79" s="61" t="s">
        <v>193</v>
      </c>
      <c r="F79" s="62"/>
      <c r="G79" s="63" t="s">
        <v>148</v>
      </c>
    </row>
    <row r="80" spans="1:7" x14ac:dyDescent="0.25">
      <c r="A80" s="254"/>
      <c r="B80" s="257"/>
      <c r="C80" s="60">
        <v>10287</v>
      </c>
      <c r="D80" s="61" t="s">
        <v>216</v>
      </c>
      <c r="E80" s="61" t="s">
        <v>215</v>
      </c>
      <c r="F80" s="62"/>
      <c r="G80" s="63" t="s">
        <v>148</v>
      </c>
    </row>
    <row r="81" spans="1:7" x14ac:dyDescent="0.25">
      <c r="A81" s="254"/>
      <c r="B81" s="257"/>
      <c r="C81" s="60">
        <v>10291</v>
      </c>
      <c r="D81" s="61" t="s">
        <v>214</v>
      </c>
      <c r="E81" s="61" t="s">
        <v>213</v>
      </c>
      <c r="F81" s="62"/>
      <c r="G81" s="63" t="s">
        <v>148</v>
      </c>
    </row>
    <row r="82" spans="1:7" x14ac:dyDescent="0.25">
      <c r="A82" s="254"/>
      <c r="B82" s="257"/>
      <c r="C82" s="60">
        <v>10294</v>
      </c>
      <c r="D82" s="61" t="s">
        <v>212</v>
      </c>
      <c r="E82" s="61" t="s">
        <v>192</v>
      </c>
      <c r="F82" s="62"/>
      <c r="G82" s="63" t="s">
        <v>211</v>
      </c>
    </row>
    <row r="83" spans="1:7" x14ac:dyDescent="0.25">
      <c r="A83" s="254"/>
      <c r="B83" s="257"/>
      <c r="C83" s="60">
        <v>10265</v>
      </c>
      <c r="D83" s="61" t="s">
        <v>210</v>
      </c>
      <c r="E83" s="61" t="s">
        <v>209</v>
      </c>
      <c r="F83" s="62"/>
      <c r="G83" s="63" t="s">
        <v>148</v>
      </c>
    </row>
    <row r="84" spans="1:7" x14ac:dyDescent="0.25">
      <c r="A84" s="254"/>
      <c r="B84" s="257"/>
      <c r="C84" s="60"/>
      <c r="D84" s="61" t="s">
        <v>208</v>
      </c>
      <c r="E84" s="61" t="s">
        <v>207</v>
      </c>
      <c r="F84" s="62"/>
      <c r="G84" s="63" t="s">
        <v>148</v>
      </c>
    </row>
    <row r="85" spans="1:7" x14ac:dyDescent="0.25">
      <c r="A85" s="254"/>
      <c r="B85" s="257"/>
      <c r="C85" s="60">
        <v>10375</v>
      </c>
      <c r="D85" s="61" t="s">
        <v>206</v>
      </c>
      <c r="E85" s="61" t="s">
        <v>205</v>
      </c>
      <c r="F85" s="62"/>
      <c r="G85" s="63" t="s">
        <v>148</v>
      </c>
    </row>
    <row r="86" spans="1:7" x14ac:dyDescent="0.25">
      <c r="A86" s="255"/>
      <c r="B86" s="49" t="s">
        <v>149</v>
      </c>
      <c r="C86" s="3">
        <v>12</v>
      </c>
      <c r="D86" s="3">
        <v>12</v>
      </c>
      <c r="E86" s="6">
        <v>12</v>
      </c>
      <c r="F86" s="3"/>
      <c r="G86" s="64"/>
    </row>
    <row r="87" spans="1:7" x14ac:dyDescent="0.25">
      <c r="A87" s="253" t="s">
        <v>160</v>
      </c>
      <c r="B87" s="256" t="s">
        <v>161</v>
      </c>
      <c r="C87" s="32"/>
      <c r="D87" s="44" t="s">
        <v>204</v>
      </c>
      <c r="E87" s="123" t="s">
        <v>203</v>
      </c>
      <c r="F87" s="65"/>
      <c r="G87" s="66" t="s">
        <v>162</v>
      </c>
    </row>
    <row r="88" spans="1:7" x14ac:dyDescent="0.25">
      <c r="A88" s="254"/>
      <c r="B88" s="257"/>
      <c r="C88" s="32"/>
      <c r="D88" s="44" t="s">
        <v>202</v>
      </c>
      <c r="E88" s="44" t="s">
        <v>201</v>
      </c>
      <c r="F88" s="44"/>
      <c r="G88" s="66" t="s">
        <v>162</v>
      </c>
    </row>
    <row r="89" spans="1:7" x14ac:dyDescent="0.25">
      <c r="A89" s="254"/>
      <c r="B89" s="257"/>
      <c r="C89" s="32"/>
      <c r="D89" s="44" t="s">
        <v>200</v>
      </c>
      <c r="E89" s="44" t="s">
        <v>199</v>
      </c>
      <c r="F89" s="65"/>
      <c r="G89" s="66"/>
    </row>
    <row r="90" spans="1:7" ht="15.75" thickBot="1" x14ac:dyDescent="0.3">
      <c r="A90" s="255"/>
      <c r="B90" s="49" t="s">
        <v>149</v>
      </c>
      <c r="C90" s="3">
        <v>3</v>
      </c>
      <c r="D90" s="3">
        <v>3</v>
      </c>
      <c r="E90" s="51">
        <v>3</v>
      </c>
      <c r="F90" s="52"/>
      <c r="G90" s="53"/>
    </row>
    <row r="91" spans="1:7" x14ac:dyDescent="0.25">
      <c r="A91" s="264">
        <v>8</v>
      </c>
      <c r="B91" s="266" t="s">
        <v>7</v>
      </c>
      <c r="C91" s="268" t="s">
        <v>163</v>
      </c>
      <c r="D91" s="269"/>
      <c r="E91" s="269"/>
      <c r="F91" s="269"/>
      <c r="G91" s="270"/>
    </row>
    <row r="92" spans="1:7" ht="16.5" customHeight="1" x14ac:dyDescent="0.25">
      <c r="A92" s="254"/>
      <c r="B92" s="257"/>
      <c r="C92" s="271" t="s">
        <v>198</v>
      </c>
      <c r="D92" s="272"/>
      <c r="E92" s="272"/>
      <c r="F92" s="272"/>
      <c r="G92" s="273"/>
    </row>
    <row r="93" spans="1:7" ht="16.5" customHeight="1" x14ac:dyDescent="0.25">
      <c r="A93" s="254"/>
      <c r="B93" s="257"/>
      <c r="C93" s="271" t="s">
        <v>197</v>
      </c>
      <c r="D93" s="272"/>
      <c r="E93" s="272"/>
      <c r="F93" s="272"/>
      <c r="G93" s="273"/>
    </row>
    <row r="94" spans="1:7" ht="16.5" customHeight="1" x14ac:dyDescent="0.25">
      <c r="A94" s="254"/>
      <c r="B94" s="257"/>
      <c r="C94" s="271" t="s">
        <v>173</v>
      </c>
      <c r="D94" s="272"/>
      <c r="E94" s="272"/>
      <c r="F94" s="272"/>
      <c r="G94" s="273"/>
    </row>
    <row r="95" spans="1:7" ht="16.5" customHeight="1" x14ac:dyDescent="0.25">
      <c r="A95" s="254"/>
      <c r="B95" s="257"/>
      <c r="C95" s="274" t="s">
        <v>196</v>
      </c>
      <c r="D95" s="275"/>
      <c r="E95" s="275"/>
      <c r="F95" s="275"/>
      <c r="G95" s="276"/>
    </row>
    <row r="96" spans="1:7" ht="16.5" customHeight="1" x14ac:dyDescent="0.25">
      <c r="A96" s="254"/>
      <c r="B96" s="257"/>
      <c r="C96" s="271" t="s">
        <v>195</v>
      </c>
      <c r="D96" s="272"/>
      <c r="E96" s="272"/>
      <c r="F96" s="272"/>
      <c r="G96" s="273"/>
    </row>
    <row r="97" spans="1:7" ht="16.5" customHeight="1" x14ac:dyDescent="0.25">
      <c r="A97" s="254"/>
      <c r="B97" s="257"/>
      <c r="C97" s="271" t="s">
        <v>175</v>
      </c>
      <c r="D97" s="272"/>
      <c r="E97" s="272"/>
      <c r="F97" s="272"/>
      <c r="G97" s="273"/>
    </row>
    <row r="98" spans="1:7" x14ac:dyDescent="0.25">
      <c r="A98" s="254"/>
      <c r="B98" s="257"/>
      <c r="C98" s="277" t="s">
        <v>164</v>
      </c>
      <c r="D98" s="278"/>
      <c r="E98" s="278"/>
      <c r="F98" s="278"/>
      <c r="G98" s="279"/>
    </row>
    <row r="99" spans="1:7" x14ac:dyDescent="0.25">
      <c r="A99" s="254"/>
      <c r="B99" s="257"/>
      <c r="C99" s="258" t="s">
        <v>194</v>
      </c>
      <c r="D99" s="259"/>
      <c r="E99" s="259"/>
      <c r="F99" s="259"/>
      <c r="G99" s="260"/>
    </row>
    <row r="100" spans="1:7" ht="15.75" thickBot="1" x14ac:dyDescent="0.3">
      <c r="A100" s="265"/>
      <c r="B100" s="267"/>
      <c r="C100" s="261"/>
      <c r="D100" s="262"/>
      <c r="E100" s="262"/>
      <c r="F100" s="262"/>
      <c r="G100" s="263"/>
    </row>
  </sheetData>
  <mergeCells count="47">
    <mergeCell ref="A1:G1"/>
    <mergeCell ref="B2:G2"/>
    <mergeCell ref="C3:D3"/>
    <mergeCell ref="C4:D4"/>
    <mergeCell ref="C5:D5"/>
    <mergeCell ref="G5:G8"/>
    <mergeCell ref="C6:D6"/>
    <mergeCell ref="C7:D7"/>
    <mergeCell ref="C8:D8"/>
    <mergeCell ref="C9:D9"/>
    <mergeCell ref="C10:D10"/>
    <mergeCell ref="G10:G11"/>
    <mergeCell ref="C11:D11"/>
    <mergeCell ref="C12:D12"/>
    <mergeCell ref="G12:G13"/>
    <mergeCell ref="C13:D13"/>
    <mergeCell ref="C15:C17"/>
    <mergeCell ref="A18:A20"/>
    <mergeCell ref="B18:B20"/>
    <mergeCell ref="C18:C20"/>
    <mergeCell ref="A21:A28"/>
    <mergeCell ref="B21:B28"/>
    <mergeCell ref="C21:C28"/>
    <mergeCell ref="A74:A86"/>
    <mergeCell ref="B74:B85"/>
    <mergeCell ref="A44:A46"/>
    <mergeCell ref="B44:B45"/>
    <mergeCell ref="A15:A17"/>
    <mergeCell ref="B15:B17"/>
    <mergeCell ref="A30:A43"/>
    <mergeCell ref="B30:B42"/>
    <mergeCell ref="A47:A73"/>
    <mergeCell ref="B47:B72"/>
    <mergeCell ref="A87:A90"/>
    <mergeCell ref="B87:B89"/>
    <mergeCell ref="C99:G99"/>
    <mergeCell ref="C100:G100"/>
    <mergeCell ref="A91:A100"/>
    <mergeCell ref="B91:B100"/>
    <mergeCell ref="C91:G91"/>
    <mergeCell ref="C92:G92"/>
    <mergeCell ref="C93:G93"/>
    <mergeCell ref="C94:G94"/>
    <mergeCell ref="C95:G95"/>
    <mergeCell ref="C96:G96"/>
    <mergeCell ref="C97:G97"/>
    <mergeCell ref="C98:G98"/>
  </mergeCells>
  <printOptions horizontalCentered="1"/>
  <pageMargins left="0.25" right="0.25" top="0.25" bottom="0.25" header="0.3" footer="0.3"/>
  <pageSetup paperSize="9" scale="7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0B4C6-C1BA-41E3-838C-42AA57668085}">
  <dimension ref="A1"/>
  <sheetViews>
    <sheetView workbookViewId="0">
      <selection activeCell="G28" sqref="G28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D893C-EC2D-4821-8416-61EF174549A6}">
  <dimension ref="A1:H384"/>
  <sheetViews>
    <sheetView workbookViewId="0">
      <selection activeCell="C16" sqref="C16:E16"/>
    </sheetView>
  </sheetViews>
  <sheetFormatPr defaultColWidth="8.7109375" defaultRowHeight="15" x14ac:dyDescent="0.25"/>
  <cols>
    <col min="1" max="1" width="4.140625" style="68" customWidth="1"/>
    <col min="2" max="2" width="36.28515625" style="7" customWidth="1"/>
    <col min="3" max="3" width="29.5703125" style="217" customWidth="1"/>
    <col min="4" max="4" width="35.85546875" customWidth="1"/>
    <col min="5" max="5" width="41.28515625" customWidth="1"/>
    <col min="6" max="6" width="46.85546875" customWidth="1"/>
  </cols>
  <sheetData>
    <row r="1" spans="1:8" ht="24.75" customHeight="1" thickBot="1" x14ac:dyDescent="0.35">
      <c r="A1" s="309" t="s">
        <v>527</v>
      </c>
      <c r="B1" s="310"/>
      <c r="C1" s="310"/>
      <c r="D1" s="310"/>
      <c r="E1" s="311"/>
      <c r="F1" s="190"/>
    </row>
    <row r="2" spans="1:8" s="7" customFormat="1" ht="19.5" customHeight="1" thickBot="1" x14ac:dyDescent="0.3">
      <c r="A2" s="191" t="s">
        <v>8</v>
      </c>
      <c r="B2" s="192" t="s">
        <v>9</v>
      </c>
      <c r="C2" s="192" t="s">
        <v>528</v>
      </c>
      <c r="D2" s="193" t="s">
        <v>529</v>
      </c>
      <c r="E2" s="194" t="s">
        <v>1</v>
      </c>
      <c r="F2" s="195" t="s">
        <v>530</v>
      </c>
      <c r="G2" s="196"/>
      <c r="H2" s="196"/>
    </row>
    <row r="3" spans="1:8" ht="15" customHeight="1" thickBot="1" x14ac:dyDescent="0.3">
      <c r="A3" s="121">
        <v>1</v>
      </c>
      <c r="B3" s="197" t="s">
        <v>3</v>
      </c>
      <c r="C3" s="140">
        <v>9</v>
      </c>
      <c r="D3" s="198">
        <v>17</v>
      </c>
      <c r="E3" s="199">
        <v>16</v>
      </c>
      <c r="F3" s="200" t="s">
        <v>531</v>
      </c>
    </row>
    <row r="4" spans="1:8" ht="15.75" customHeight="1" x14ac:dyDescent="0.25">
      <c r="A4" s="21">
        <v>2</v>
      </c>
      <c r="B4" s="2" t="s">
        <v>532</v>
      </c>
      <c r="C4" s="1">
        <v>17</v>
      </c>
      <c r="D4" s="201">
        <v>13</v>
      </c>
      <c r="E4" s="202">
        <v>13</v>
      </c>
      <c r="F4" s="203"/>
    </row>
    <row r="5" spans="1:8" ht="15.75" customHeight="1" x14ac:dyDescent="0.25">
      <c r="A5" s="253">
        <v>3</v>
      </c>
      <c r="B5" s="204" t="s">
        <v>10</v>
      </c>
      <c r="C5" s="205">
        <f>SUM(C6:C11)</f>
        <v>113</v>
      </c>
      <c r="D5" s="206">
        <f>SUM(D6:D11)</f>
        <v>96</v>
      </c>
      <c r="E5" s="207">
        <v>69</v>
      </c>
      <c r="F5" s="203"/>
    </row>
    <row r="6" spans="1:8" ht="15.75" customHeight="1" x14ac:dyDescent="0.25">
      <c r="A6" s="254"/>
      <c r="B6" s="2" t="s">
        <v>533</v>
      </c>
      <c r="C6" s="1">
        <v>20</v>
      </c>
      <c r="D6" s="201">
        <v>20</v>
      </c>
      <c r="E6" s="202">
        <v>14</v>
      </c>
    </row>
    <row r="7" spans="1:8" ht="15.75" customHeight="1" x14ac:dyDescent="0.25">
      <c r="A7" s="254"/>
      <c r="B7" s="2" t="s">
        <v>534</v>
      </c>
      <c r="C7" s="1">
        <v>22</v>
      </c>
      <c r="D7" s="201">
        <v>22</v>
      </c>
      <c r="E7" s="202">
        <v>19</v>
      </c>
    </row>
    <row r="8" spans="1:8" ht="15.75" customHeight="1" x14ac:dyDescent="0.25">
      <c r="A8" s="254"/>
      <c r="B8" s="2" t="s">
        <v>535</v>
      </c>
      <c r="C8" s="1">
        <v>22</v>
      </c>
      <c r="D8" s="201">
        <v>10</v>
      </c>
      <c r="E8" s="202">
        <v>11</v>
      </c>
    </row>
    <row r="9" spans="1:8" ht="15.75" customHeight="1" x14ac:dyDescent="0.25">
      <c r="A9" s="254"/>
      <c r="B9" s="2" t="s">
        <v>536</v>
      </c>
      <c r="C9" s="1">
        <v>20</v>
      </c>
      <c r="D9" s="201">
        <v>16</v>
      </c>
      <c r="E9" s="202">
        <v>5</v>
      </c>
    </row>
    <row r="10" spans="1:8" ht="15.75" customHeight="1" x14ac:dyDescent="0.25">
      <c r="A10" s="254"/>
      <c r="B10" s="2" t="s">
        <v>537</v>
      </c>
      <c r="C10" s="1">
        <v>25</v>
      </c>
      <c r="D10" s="201">
        <v>25</v>
      </c>
      <c r="E10" s="202">
        <v>17</v>
      </c>
    </row>
    <row r="11" spans="1:8" ht="15.75" customHeight="1" thickBot="1" x14ac:dyDescent="0.3">
      <c r="A11" s="265"/>
      <c r="B11" s="208" t="s">
        <v>538</v>
      </c>
      <c r="C11" s="209">
        <v>4</v>
      </c>
      <c r="D11" s="210">
        <v>3</v>
      </c>
      <c r="E11" s="211">
        <v>3</v>
      </c>
    </row>
    <row r="12" spans="1:8" ht="18" customHeight="1" x14ac:dyDescent="0.25">
      <c r="A12" s="264">
        <v>4</v>
      </c>
      <c r="B12" s="312" t="s">
        <v>539</v>
      </c>
      <c r="C12" s="315" t="s">
        <v>540</v>
      </c>
      <c r="D12" s="316"/>
      <c r="E12" s="317"/>
    </row>
    <row r="13" spans="1:8" ht="18" customHeight="1" x14ac:dyDescent="0.25">
      <c r="A13" s="254"/>
      <c r="B13" s="313"/>
      <c r="C13" s="318" t="s">
        <v>541</v>
      </c>
      <c r="D13" s="319"/>
      <c r="E13" s="320"/>
    </row>
    <row r="14" spans="1:8" ht="18" customHeight="1" x14ac:dyDescent="0.25">
      <c r="A14" s="254"/>
      <c r="B14" s="313"/>
      <c r="C14" s="318" t="s">
        <v>542</v>
      </c>
      <c r="D14" s="319"/>
      <c r="E14" s="320"/>
    </row>
    <row r="15" spans="1:8" ht="18" customHeight="1" x14ac:dyDescent="0.25">
      <c r="A15" s="255"/>
      <c r="B15" s="314"/>
      <c r="C15" s="318" t="s">
        <v>543</v>
      </c>
      <c r="D15" s="319"/>
      <c r="E15" s="320"/>
    </row>
    <row r="16" spans="1:8" ht="16.5" customHeight="1" thickBot="1" x14ac:dyDescent="0.3">
      <c r="A16" s="212">
        <v>5</v>
      </c>
      <c r="B16" s="208" t="s">
        <v>544</v>
      </c>
      <c r="C16" s="321" t="s">
        <v>545</v>
      </c>
      <c r="D16" s="322"/>
      <c r="E16" s="323"/>
    </row>
    <row r="17" spans="1:5" ht="88.5" customHeight="1" x14ac:dyDescent="0.25">
      <c r="A17" s="213">
        <v>6</v>
      </c>
      <c r="B17" s="214" t="s">
        <v>546</v>
      </c>
      <c r="C17" s="315" t="s">
        <v>547</v>
      </c>
      <c r="D17" s="316"/>
      <c r="E17" s="317"/>
    </row>
    <row r="18" spans="1:5" ht="41.25" customHeight="1" thickBot="1" x14ac:dyDescent="0.3">
      <c r="A18" s="120">
        <v>7</v>
      </c>
      <c r="B18" s="215" t="s">
        <v>548</v>
      </c>
      <c r="C18" s="324" t="s">
        <v>549</v>
      </c>
      <c r="D18" s="325"/>
      <c r="E18" s="326"/>
    </row>
    <row r="19" spans="1:5" ht="38.25" customHeight="1" x14ac:dyDescent="0.25">
      <c r="A19" s="213">
        <v>8</v>
      </c>
      <c r="B19" s="214" t="s">
        <v>550</v>
      </c>
      <c r="C19" s="315" t="s">
        <v>551</v>
      </c>
      <c r="D19" s="316"/>
      <c r="E19" s="317"/>
    </row>
    <row r="20" spans="1:5" ht="22.5" customHeight="1" x14ac:dyDescent="0.25">
      <c r="A20" s="21">
        <v>9</v>
      </c>
      <c r="B20" s="2" t="s">
        <v>552</v>
      </c>
      <c r="C20" s="327" t="s">
        <v>551</v>
      </c>
      <c r="D20" s="328"/>
      <c r="E20" s="329"/>
    </row>
    <row r="21" spans="1:5" ht="22.5" customHeight="1" thickBot="1" x14ac:dyDescent="0.3">
      <c r="A21" s="212">
        <v>10</v>
      </c>
      <c r="B21" s="208" t="s">
        <v>553</v>
      </c>
      <c r="C21" s="306" t="s">
        <v>551</v>
      </c>
      <c r="D21" s="307"/>
      <c r="E21" s="308"/>
    </row>
    <row r="22" spans="1:5" ht="18" customHeight="1" x14ac:dyDescent="0.25">
      <c r="A22" s="121">
        <v>11</v>
      </c>
      <c r="B22" s="197" t="s">
        <v>554</v>
      </c>
      <c r="C22" s="330" t="s">
        <v>551</v>
      </c>
      <c r="D22" s="331"/>
      <c r="E22" s="332"/>
    </row>
    <row r="23" spans="1:5" ht="15" customHeight="1" x14ac:dyDescent="0.25">
      <c r="A23" s="253">
        <v>12</v>
      </c>
      <c r="B23" s="333" t="s">
        <v>555</v>
      </c>
      <c r="C23" s="335" t="s">
        <v>556</v>
      </c>
      <c r="D23" s="336"/>
      <c r="E23" s="337"/>
    </row>
    <row r="24" spans="1:5" ht="15.75" customHeight="1" x14ac:dyDescent="0.25">
      <c r="A24" s="254"/>
      <c r="B24" s="313"/>
      <c r="C24" s="335" t="s">
        <v>557</v>
      </c>
      <c r="D24" s="336"/>
      <c r="E24" s="337"/>
    </row>
    <row r="25" spans="1:5" ht="15.75" customHeight="1" thickBot="1" x14ac:dyDescent="0.3">
      <c r="A25" s="265"/>
      <c r="B25" s="334"/>
      <c r="C25" s="306" t="s">
        <v>558</v>
      </c>
      <c r="D25" s="307"/>
      <c r="E25" s="308"/>
    </row>
    <row r="26" spans="1:5" ht="30" customHeight="1" x14ac:dyDescent="0.25">
      <c r="A26" s="213">
        <v>13</v>
      </c>
      <c r="B26" s="214" t="s">
        <v>559</v>
      </c>
      <c r="C26" s="315" t="s">
        <v>560</v>
      </c>
      <c r="D26" s="316"/>
      <c r="E26" s="317"/>
    </row>
    <row r="27" spans="1:5" ht="15" customHeight="1" x14ac:dyDescent="0.25">
      <c r="A27" s="253">
        <v>14</v>
      </c>
      <c r="B27" s="333" t="s">
        <v>561</v>
      </c>
      <c r="C27" s="338" t="s">
        <v>562</v>
      </c>
      <c r="D27" s="339"/>
      <c r="E27" s="340"/>
    </row>
    <row r="28" spans="1:5" ht="5.25" customHeight="1" x14ac:dyDescent="0.25">
      <c r="A28" s="254"/>
      <c r="B28" s="313"/>
      <c r="C28" s="341"/>
      <c r="D28" s="342"/>
      <c r="E28" s="343"/>
    </row>
    <row r="29" spans="1:5" ht="15" hidden="1" customHeight="1" x14ac:dyDescent="0.25">
      <c r="A29" s="254"/>
      <c r="B29" s="313"/>
      <c r="C29" s="341"/>
      <c r="D29" s="342"/>
      <c r="E29" s="343"/>
    </row>
    <row r="30" spans="1:5" ht="48" customHeight="1" thickBot="1" x14ac:dyDescent="0.3">
      <c r="A30" s="265"/>
      <c r="B30" s="334"/>
      <c r="C30" s="344"/>
      <c r="D30" s="345"/>
      <c r="E30" s="346"/>
    </row>
    <row r="31" spans="1:5" s="7" customFormat="1" ht="39" customHeight="1" thickBot="1" x14ac:dyDescent="0.3">
      <c r="A31" s="122">
        <v>15</v>
      </c>
      <c r="B31" s="216" t="s">
        <v>7</v>
      </c>
      <c r="C31" s="347" t="s">
        <v>551</v>
      </c>
      <c r="D31" s="348"/>
      <c r="E31" s="349"/>
    </row>
    <row r="32" spans="1:5" ht="15" customHeight="1" x14ac:dyDescent="0.25">
      <c r="C32" s="7"/>
    </row>
    <row r="33" spans="3:3" ht="15" customHeight="1" x14ac:dyDescent="0.25">
      <c r="C33" s="7"/>
    </row>
    <row r="34" spans="3:3" ht="15" customHeight="1" x14ac:dyDescent="0.25">
      <c r="C34" s="7"/>
    </row>
    <row r="35" spans="3:3" ht="15" customHeight="1" x14ac:dyDescent="0.25">
      <c r="C35" s="7"/>
    </row>
    <row r="36" spans="3:3" ht="15" customHeight="1" x14ac:dyDescent="0.25">
      <c r="C36" s="7"/>
    </row>
    <row r="37" spans="3:3" ht="15" customHeight="1" x14ac:dyDescent="0.25">
      <c r="C37" s="7"/>
    </row>
    <row r="38" spans="3:3" ht="15" customHeight="1" x14ac:dyDescent="0.25">
      <c r="C38" s="7"/>
    </row>
    <row r="39" spans="3:3" ht="15" customHeight="1" x14ac:dyDescent="0.25">
      <c r="C39" s="7"/>
    </row>
    <row r="40" spans="3:3" ht="15" customHeight="1" x14ac:dyDescent="0.25">
      <c r="C40" s="7"/>
    </row>
    <row r="41" spans="3:3" ht="15" customHeight="1" x14ac:dyDescent="0.25">
      <c r="C41" s="7"/>
    </row>
    <row r="42" spans="3:3" ht="15" customHeight="1" x14ac:dyDescent="0.25">
      <c r="C42" s="7"/>
    </row>
    <row r="43" spans="3:3" ht="15" customHeight="1" x14ac:dyDescent="0.25">
      <c r="C43" s="7"/>
    </row>
    <row r="44" spans="3:3" ht="15" customHeight="1" x14ac:dyDescent="0.25">
      <c r="C44" s="7"/>
    </row>
    <row r="45" spans="3:3" ht="15" customHeight="1" x14ac:dyDescent="0.25">
      <c r="C45" s="7"/>
    </row>
    <row r="46" spans="3:3" ht="15" customHeight="1" x14ac:dyDescent="0.25">
      <c r="C46" s="7"/>
    </row>
    <row r="47" spans="3:3" ht="15" customHeight="1" x14ac:dyDescent="0.25">
      <c r="C47" s="7"/>
    </row>
    <row r="48" spans="3:3" ht="15" customHeight="1" x14ac:dyDescent="0.25">
      <c r="C48" s="7"/>
    </row>
    <row r="49" spans="3:3" ht="15" customHeight="1" x14ac:dyDescent="0.25">
      <c r="C49" s="7"/>
    </row>
    <row r="50" spans="3:3" ht="15" customHeight="1" x14ac:dyDescent="0.25">
      <c r="C50" s="7"/>
    </row>
    <row r="51" spans="3:3" ht="15" customHeight="1" x14ac:dyDescent="0.25">
      <c r="C51" s="7"/>
    </row>
    <row r="52" spans="3:3" ht="15" customHeight="1" x14ac:dyDescent="0.25">
      <c r="C52" s="7"/>
    </row>
    <row r="53" spans="3:3" ht="15" customHeight="1" x14ac:dyDescent="0.25">
      <c r="C53" s="7"/>
    </row>
    <row r="54" spans="3:3" ht="15" customHeight="1" x14ac:dyDescent="0.25">
      <c r="C54" s="7"/>
    </row>
    <row r="55" spans="3:3" ht="15" customHeight="1" x14ac:dyDescent="0.25">
      <c r="C55" s="7"/>
    </row>
    <row r="56" spans="3:3" ht="15" customHeight="1" x14ac:dyDescent="0.25">
      <c r="C56" s="7"/>
    </row>
    <row r="57" spans="3:3" ht="15" customHeight="1" x14ac:dyDescent="0.25">
      <c r="C57" s="7"/>
    </row>
    <row r="58" spans="3:3" ht="15" customHeight="1" x14ac:dyDescent="0.25">
      <c r="C58" s="7"/>
    </row>
    <row r="59" spans="3:3" ht="15" customHeight="1" x14ac:dyDescent="0.25">
      <c r="C59" s="7"/>
    </row>
    <row r="60" spans="3:3" ht="15" customHeight="1" x14ac:dyDescent="0.25">
      <c r="C60" s="7"/>
    </row>
    <row r="61" spans="3:3" ht="15" customHeight="1" x14ac:dyDescent="0.25">
      <c r="C61" s="7"/>
    </row>
    <row r="62" spans="3:3" ht="15" customHeight="1" x14ac:dyDescent="0.25">
      <c r="C62" s="7"/>
    </row>
    <row r="63" spans="3:3" ht="15" customHeight="1" x14ac:dyDescent="0.25">
      <c r="C63" s="7"/>
    </row>
    <row r="64" spans="3:3" ht="15" customHeight="1" x14ac:dyDescent="0.25">
      <c r="C64" s="7"/>
    </row>
    <row r="65" spans="3:3" ht="15" customHeight="1" x14ac:dyDescent="0.25">
      <c r="C65" s="7"/>
    </row>
    <row r="66" spans="3:3" ht="15" customHeight="1" x14ac:dyDescent="0.25">
      <c r="C66" s="7"/>
    </row>
    <row r="67" spans="3:3" ht="15" customHeight="1" x14ac:dyDescent="0.25">
      <c r="C67" s="7"/>
    </row>
    <row r="68" spans="3:3" ht="15" customHeight="1" x14ac:dyDescent="0.25">
      <c r="C68" s="7"/>
    </row>
    <row r="69" spans="3:3" ht="15" customHeight="1" x14ac:dyDescent="0.25">
      <c r="C69" s="7"/>
    </row>
    <row r="70" spans="3:3" ht="15" customHeight="1" x14ac:dyDescent="0.25">
      <c r="C70" s="7"/>
    </row>
    <row r="71" spans="3:3" ht="15" customHeight="1" x14ac:dyDescent="0.25">
      <c r="C71" s="7"/>
    </row>
    <row r="72" spans="3:3" ht="15" customHeight="1" x14ac:dyDescent="0.25">
      <c r="C72" s="7"/>
    </row>
    <row r="73" spans="3:3" ht="15" customHeight="1" x14ac:dyDescent="0.25">
      <c r="C73" s="7"/>
    </row>
    <row r="74" spans="3:3" ht="15" customHeight="1" x14ac:dyDescent="0.25">
      <c r="C74" s="7"/>
    </row>
    <row r="75" spans="3:3" ht="15" customHeight="1" x14ac:dyDescent="0.25">
      <c r="C75" s="7"/>
    </row>
    <row r="76" spans="3:3" ht="15" customHeight="1" x14ac:dyDescent="0.25">
      <c r="C76" s="7"/>
    </row>
    <row r="77" spans="3:3" ht="15" customHeight="1" x14ac:dyDescent="0.25">
      <c r="C77" s="7"/>
    </row>
    <row r="78" spans="3:3" ht="15" customHeight="1" x14ac:dyDescent="0.25">
      <c r="C78" s="7"/>
    </row>
    <row r="79" spans="3:3" ht="15" customHeight="1" x14ac:dyDescent="0.25">
      <c r="C79" s="7"/>
    </row>
    <row r="80" spans="3:3" ht="15" customHeight="1" x14ac:dyDescent="0.25">
      <c r="C80" s="7"/>
    </row>
    <row r="81" spans="3:3" ht="15" customHeight="1" x14ac:dyDescent="0.25">
      <c r="C81" s="7"/>
    </row>
    <row r="82" spans="3:3" ht="15" customHeight="1" x14ac:dyDescent="0.25">
      <c r="C82" s="7"/>
    </row>
    <row r="83" spans="3:3" ht="15" customHeight="1" x14ac:dyDescent="0.25">
      <c r="C83" s="7"/>
    </row>
    <row r="84" spans="3:3" ht="15" customHeight="1" x14ac:dyDescent="0.25">
      <c r="C84" s="7"/>
    </row>
    <row r="85" spans="3:3" ht="15" customHeight="1" x14ac:dyDescent="0.25">
      <c r="C85" s="7"/>
    </row>
    <row r="86" spans="3:3" ht="15" customHeight="1" x14ac:dyDescent="0.25">
      <c r="C86" s="7"/>
    </row>
    <row r="87" spans="3:3" ht="15" customHeight="1" x14ac:dyDescent="0.25">
      <c r="C87" s="7"/>
    </row>
    <row r="88" spans="3:3" ht="15" customHeight="1" x14ac:dyDescent="0.25">
      <c r="C88" s="7"/>
    </row>
    <row r="89" spans="3:3" ht="15" customHeight="1" x14ac:dyDescent="0.25">
      <c r="C89" s="7"/>
    </row>
    <row r="90" spans="3:3" ht="15" customHeight="1" x14ac:dyDescent="0.25">
      <c r="C90" s="7"/>
    </row>
    <row r="91" spans="3:3" ht="15" customHeight="1" x14ac:dyDescent="0.25">
      <c r="C91" s="7"/>
    </row>
    <row r="92" spans="3:3" ht="15" customHeight="1" x14ac:dyDescent="0.25">
      <c r="C92" s="7"/>
    </row>
    <row r="93" spans="3:3" ht="15" customHeight="1" x14ac:dyDescent="0.25">
      <c r="C93" s="7"/>
    </row>
    <row r="94" spans="3:3" ht="15" customHeight="1" x14ac:dyDescent="0.25">
      <c r="C94" s="7"/>
    </row>
    <row r="95" spans="3:3" ht="15" customHeight="1" x14ac:dyDescent="0.25">
      <c r="C95" s="7"/>
    </row>
    <row r="96" spans="3:3" ht="15" customHeight="1" x14ac:dyDescent="0.25">
      <c r="C96" s="7"/>
    </row>
    <row r="97" spans="3:3" ht="15" customHeight="1" x14ac:dyDescent="0.25">
      <c r="C97" s="7"/>
    </row>
    <row r="98" spans="3:3" ht="15" customHeight="1" x14ac:dyDescent="0.25">
      <c r="C98" s="7"/>
    </row>
    <row r="99" spans="3:3" ht="15" customHeight="1" x14ac:dyDescent="0.25">
      <c r="C99" s="7"/>
    </row>
    <row r="100" spans="3:3" ht="15" customHeight="1" x14ac:dyDescent="0.25">
      <c r="C100" s="7"/>
    </row>
    <row r="101" spans="3:3" ht="15" customHeight="1" x14ac:dyDescent="0.25">
      <c r="C101" s="7"/>
    </row>
    <row r="102" spans="3:3" ht="15" customHeight="1" x14ac:dyDescent="0.25">
      <c r="C102" s="7"/>
    </row>
    <row r="103" spans="3:3" ht="15" customHeight="1" x14ac:dyDescent="0.25">
      <c r="C103" s="7"/>
    </row>
    <row r="104" spans="3:3" ht="15" customHeight="1" x14ac:dyDescent="0.25">
      <c r="C104" s="7"/>
    </row>
    <row r="105" spans="3:3" ht="15" customHeight="1" x14ac:dyDescent="0.25">
      <c r="C105" s="7"/>
    </row>
    <row r="106" spans="3:3" ht="15" customHeight="1" x14ac:dyDescent="0.25">
      <c r="C106" s="7"/>
    </row>
    <row r="107" spans="3:3" ht="15" customHeight="1" x14ac:dyDescent="0.25">
      <c r="C107" s="7"/>
    </row>
    <row r="108" spans="3:3" ht="15" customHeight="1" x14ac:dyDescent="0.25">
      <c r="C108" s="7"/>
    </row>
    <row r="109" spans="3:3" ht="15" customHeight="1" x14ac:dyDescent="0.25">
      <c r="C109" s="7"/>
    </row>
    <row r="110" spans="3:3" ht="15" customHeight="1" x14ac:dyDescent="0.25">
      <c r="C110" s="7"/>
    </row>
    <row r="111" spans="3:3" ht="15" customHeight="1" x14ac:dyDescent="0.25">
      <c r="C111" s="7"/>
    </row>
    <row r="112" spans="3:3" ht="15" customHeight="1" x14ac:dyDescent="0.25">
      <c r="C112" s="7"/>
    </row>
    <row r="113" spans="3:3" ht="15" customHeight="1" x14ac:dyDescent="0.25">
      <c r="C113" s="7"/>
    </row>
    <row r="114" spans="3:3" ht="15" customHeight="1" x14ac:dyDescent="0.25">
      <c r="C114" s="7"/>
    </row>
    <row r="115" spans="3:3" ht="15" customHeight="1" x14ac:dyDescent="0.25">
      <c r="C115" s="7"/>
    </row>
    <row r="116" spans="3:3" ht="15" customHeight="1" x14ac:dyDescent="0.25">
      <c r="C116" s="7"/>
    </row>
    <row r="117" spans="3:3" ht="15" customHeight="1" x14ac:dyDescent="0.25">
      <c r="C117" s="7"/>
    </row>
    <row r="118" spans="3:3" ht="15" customHeight="1" x14ac:dyDescent="0.25">
      <c r="C118" s="7"/>
    </row>
    <row r="119" spans="3:3" ht="15" customHeight="1" x14ac:dyDescent="0.25">
      <c r="C119" s="7"/>
    </row>
    <row r="120" spans="3:3" ht="15" customHeight="1" x14ac:dyDescent="0.25">
      <c r="C120" s="7"/>
    </row>
    <row r="121" spans="3:3" ht="15" customHeight="1" x14ac:dyDescent="0.25">
      <c r="C121" s="7"/>
    </row>
    <row r="122" spans="3:3" ht="15" customHeight="1" x14ac:dyDescent="0.25">
      <c r="C122" s="7"/>
    </row>
    <row r="123" spans="3:3" ht="15" customHeight="1" x14ac:dyDescent="0.25">
      <c r="C123" s="7"/>
    </row>
    <row r="124" spans="3:3" ht="15" customHeight="1" x14ac:dyDescent="0.25">
      <c r="C124" s="7"/>
    </row>
    <row r="125" spans="3:3" ht="15" customHeight="1" x14ac:dyDescent="0.25">
      <c r="C125" s="7"/>
    </row>
    <row r="126" spans="3:3" ht="15" customHeight="1" x14ac:dyDescent="0.25">
      <c r="C126" s="7"/>
    </row>
    <row r="127" spans="3:3" ht="15" customHeight="1" x14ac:dyDescent="0.25">
      <c r="C127" s="7"/>
    </row>
    <row r="128" spans="3:3" ht="15" customHeight="1" x14ac:dyDescent="0.25">
      <c r="C128" s="7"/>
    </row>
    <row r="129" spans="3:3" ht="15" customHeight="1" x14ac:dyDescent="0.25">
      <c r="C129" s="7"/>
    </row>
    <row r="130" spans="3:3" ht="15" customHeight="1" x14ac:dyDescent="0.25">
      <c r="C130" s="7"/>
    </row>
    <row r="131" spans="3:3" ht="15" customHeight="1" x14ac:dyDescent="0.25">
      <c r="C131" s="7"/>
    </row>
    <row r="132" spans="3:3" ht="15" customHeight="1" x14ac:dyDescent="0.25">
      <c r="C132" s="7"/>
    </row>
    <row r="133" spans="3:3" ht="15" customHeight="1" x14ac:dyDescent="0.25">
      <c r="C133" s="7"/>
    </row>
    <row r="134" spans="3:3" ht="15" customHeight="1" x14ac:dyDescent="0.25">
      <c r="C134" s="7"/>
    </row>
    <row r="135" spans="3:3" ht="15" customHeight="1" x14ac:dyDescent="0.25">
      <c r="C135" s="7"/>
    </row>
    <row r="136" spans="3:3" ht="15" customHeight="1" x14ac:dyDescent="0.25">
      <c r="C136" s="7"/>
    </row>
    <row r="137" spans="3:3" ht="15" customHeight="1" x14ac:dyDescent="0.25">
      <c r="C137" s="7"/>
    </row>
    <row r="138" spans="3:3" ht="15" customHeight="1" x14ac:dyDescent="0.25">
      <c r="C138" s="7"/>
    </row>
    <row r="139" spans="3:3" ht="15" customHeight="1" x14ac:dyDescent="0.25">
      <c r="C139" s="7"/>
    </row>
    <row r="140" spans="3:3" ht="15" customHeight="1" x14ac:dyDescent="0.25">
      <c r="C140" s="7"/>
    </row>
    <row r="141" spans="3:3" ht="15" customHeight="1" x14ac:dyDescent="0.25">
      <c r="C141" s="7"/>
    </row>
    <row r="142" spans="3:3" ht="15" customHeight="1" x14ac:dyDescent="0.25">
      <c r="C142" s="7"/>
    </row>
    <row r="143" spans="3:3" ht="15" customHeight="1" x14ac:dyDescent="0.25">
      <c r="C143" s="7"/>
    </row>
    <row r="144" spans="3:3" ht="15" customHeight="1" x14ac:dyDescent="0.25">
      <c r="C144" s="7"/>
    </row>
    <row r="145" spans="3:3" ht="15" customHeight="1" x14ac:dyDescent="0.25">
      <c r="C145" s="7"/>
    </row>
    <row r="146" spans="3:3" ht="15" customHeight="1" x14ac:dyDescent="0.25">
      <c r="C146" s="7"/>
    </row>
    <row r="147" spans="3:3" ht="15" customHeight="1" x14ac:dyDescent="0.25">
      <c r="C147" s="7"/>
    </row>
    <row r="148" spans="3:3" ht="15" customHeight="1" x14ac:dyDescent="0.25">
      <c r="C148" s="7"/>
    </row>
    <row r="149" spans="3:3" ht="15" customHeight="1" x14ac:dyDescent="0.25">
      <c r="C149" s="7"/>
    </row>
    <row r="150" spans="3:3" ht="15" customHeight="1" x14ac:dyDescent="0.25">
      <c r="C150" s="7"/>
    </row>
    <row r="151" spans="3:3" ht="15" customHeight="1" x14ac:dyDescent="0.25">
      <c r="C151" s="7"/>
    </row>
    <row r="152" spans="3:3" ht="15" customHeight="1" x14ac:dyDescent="0.25">
      <c r="C152" s="7"/>
    </row>
    <row r="153" spans="3:3" ht="15" customHeight="1" x14ac:dyDescent="0.25">
      <c r="C153" s="7"/>
    </row>
    <row r="154" spans="3:3" ht="15" customHeight="1" x14ac:dyDescent="0.25">
      <c r="C154" s="7"/>
    </row>
    <row r="155" spans="3:3" ht="15" customHeight="1" x14ac:dyDescent="0.25">
      <c r="C155" s="7"/>
    </row>
    <row r="156" spans="3:3" ht="15" customHeight="1" x14ac:dyDescent="0.25">
      <c r="C156" s="7"/>
    </row>
    <row r="157" spans="3:3" ht="15" customHeight="1" x14ac:dyDescent="0.25">
      <c r="C157" s="7"/>
    </row>
    <row r="158" spans="3:3" ht="15" customHeight="1" x14ac:dyDescent="0.25">
      <c r="C158" s="7"/>
    </row>
    <row r="159" spans="3:3" ht="15" customHeight="1" x14ac:dyDescent="0.25">
      <c r="C159" s="7"/>
    </row>
    <row r="160" spans="3:3" ht="15" customHeight="1" x14ac:dyDescent="0.25">
      <c r="C160" s="7"/>
    </row>
    <row r="161" spans="3:3" ht="15" customHeight="1" x14ac:dyDescent="0.25">
      <c r="C161" s="7"/>
    </row>
    <row r="162" spans="3:3" ht="15" customHeight="1" x14ac:dyDescent="0.25">
      <c r="C162" s="7"/>
    </row>
    <row r="163" spans="3:3" ht="15" customHeight="1" x14ac:dyDescent="0.25">
      <c r="C163" s="7"/>
    </row>
    <row r="164" spans="3:3" ht="15" customHeight="1" x14ac:dyDescent="0.25">
      <c r="C164" s="7"/>
    </row>
    <row r="165" spans="3:3" ht="15" customHeight="1" x14ac:dyDescent="0.25">
      <c r="C165" s="7"/>
    </row>
    <row r="166" spans="3:3" ht="15" customHeight="1" x14ac:dyDescent="0.25">
      <c r="C166" s="7"/>
    </row>
    <row r="167" spans="3:3" ht="15" customHeight="1" x14ac:dyDescent="0.25">
      <c r="C167" s="7"/>
    </row>
    <row r="168" spans="3:3" ht="15" customHeight="1" x14ac:dyDescent="0.25">
      <c r="C168" s="7"/>
    </row>
    <row r="169" spans="3:3" ht="15" customHeight="1" x14ac:dyDescent="0.25">
      <c r="C169" s="7"/>
    </row>
    <row r="170" spans="3:3" ht="15" customHeight="1" x14ac:dyDescent="0.25">
      <c r="C170" s="7"/>
    </row>
    <row r="171" spans="3:3" ht="15" customHeight="1" x14ac:dyDescent="0.25">
      <c r="C171" s="7"/>
    </row>
    <row r="172" spans="3:3" ht="15" customHeight="1" x14ac:dyDescent="0.25">
      <c r="C172" s="7"/>
    </row>
    <row r="173" spans="3:3" ht="15" customHeight="1" x14ac:dyDescent="0.25">
      <c r="C173" s="7"/>
    </row>
    <row r="174" spans="3:3" ht="15" customHeight="1" x14ac:dyDescent="0.25">
      <c r="C174" s="7"/>
    </row>
    <row r="175" spans="3:3" ht="15" customHeight="1" x14ac:dyDescent="0.25">
      <c r="C175" s="7"/>
    </row>
    <row r="176" spans="3:3" ht="15" customHeight="1" x14ac:dyDescent="0.25">
      <c r="C176" s="7"/>
    </row>
    <row r="177" spans="3:3" ht="15" customHeight="1" x14ac:dyDescent="0.25">
      <c r="C177" s="7"/>
    </row>
    <row r="178" spans="3:3" ht="15" customHeight="1" x14ac:dyDescent="0.25">
      <c r="C178" s="7"/>
    </row>
    <row r="179" spans="3:3" ht="15" customHeight="1" x14ac:dyDescent="0.25">
      <c r="C179" s="7"/>
    </row>
    <row r="180" spans="3:3" ht="15" customHeight="1" x14ac:dyDescent="0.25">
      <c r="C180" s="7"/>
    </row>
    <row r="181" spans="3:3" ht="15" customHeight="1" x14ac:dyDescent="0.25">
      <c r="C181" s="7"/>
    </row>
    <row r="182" spans="3:3" ht="15" customHeight="1" x14ac:dyDescent="0.25">
      <c r="C182" s="7"/>
    </row>
    <row r="183" spans="3:3" ht="15" customHeight="1" x14ac:dyDescent="0.25">
      <c r="C183" s="7"/>
    </row>
    <row r="184" spans="3:3" ht="15" customHeight="1" x14ac:dyDescent="0.25">
      <c r="C184" s="7"/>
    </row>
    <row r="185" spans="3:3" ht="15" customHeight="1" x14ac:dyDescent="0.25">
      <c r="C185" s="7"/>
    </row>
    <row r="186" spans="3:3" ht="15" customHeight="1" x14ac:dyDescent="0.25">
      <c r="C186" s="7"/>
    </row>
    <row r="187" spans="3:3" ht="15" customHeight="1" x14ac:dyDescent="0.25">
      <c r="C187" s="7"/>
    </row>
    <row r="188" spans="3:3" ht="15" customHeight="1" x14ac:dyDescent="0.25">
      <c r="C188" s="7"/>
    </row>
    <row r="189" spans="3:3" ht="15" customHeight="1" x14ac:dyDescent="0.25">
      <c r="C189" s="7"/>
    </row>
    <row r="190" spans="3:3" ht="15" customHeight="1" x14ac:dyDescent="0.25">
      <c r="C190" s="7"/>
    </row>
    <row r="191" spans="3:3" ht="15" customHeight="1" x14ac:dyDescent="0.25">
      <c r="C191" s="7"/>
    </row>
    <row r="192" spans="3:3" ht="15" customHeight="1" x14ac:dyDescent="0.25">
      <c r="C192" s="7"/>
    </row>
    <row r="193" spans="3:3" ht="15" customHeight="1" x14ac:dyDescent="0.25">
      <c r="C193" s="7"/>
    </row>
    <row r="194" spans="3:3" ht="15" customHeight="1" x14ac:dyDescent="0.25">
      <c r="C194" s="7"/>
    </row>
    <row r="195" spans="3:3" ht="15" customHeight="1" x14ac:dyDescent="0.25">
      <c r="C195" s="7"/>
    </row>
    <row r="196" spans="3:3" ht="15" customHeight="1" x14ac:dyDescent="0.25">
      <c r="C196" s="7"/>
    </row>
    <row r="197" spans="3:3" ht="15" customHeight="1" x14ac:dyDescent="0.25">
      <c r="C197" s="7"/>
    </row>
    <row r="198" spans="3:3" ht="15" customHeight="1" x14ac:dyDescent="0.25">
      <c r="C198" s="7"/>
    </row>
    <row r="199" spans="3:3" ht="15" customHeight="1" x14ac:dyDescent="0.25">
      <c r="C199" s="7"/>
    </row>
    <row r="200" spans="3:3" ht="15" customHeight="1" x14ac:dyDescent="0.25">
      <c r="C200" s="7"/>
    </row>
    <row r="201" spans="3:3" ht="15" customHeight="1" x14ac:dyDescent="0.25">
      <c r="C201" s="7"/>
    </row>
    <row r="202" spans="3:3" ht="15" customHeight="1" x14ac:dyDescent="0.25">
      <c r="C202" s="7"/>
    </row>
    <row r="203" spans="3:3" ht="15" customHeight="1" x14ac:dyDescent="0.25">
      <c r="C203" s="7"/>
    </row>
    <row r="204" spans="3:3" ht="15" customHeight="1" x14ac:dyDescent="0.25">
      <c r="C204" s="7"/>
    </row>
    <row r="205" spans="3:3" ht="15" customHeight="1" x14ac:dyDescent="0.25">
      <c r="C205" s="7"/>
    </row>
    <row r="206" spans="3:3" ht="15" customHeight="1" x14ac:dyDescent="0.25">
      <c r="C206" s="7"/>
    </row>
    <row r="207" spans="3:3" ht="15" customHeight="1" x14ac:dyDescent="0.25">
      <c r="C207" s="7"/>
    </row>
    <row r="208" spans="3:3" ht="15" customHeight="1" x14ac:dyDescent="0.25">
      <c r="C208" s="7"/>
    </row>
    <row r="209" spans="3:3" ht="15" customHeight="1" x14ac:dyDescent="0.25">
      <c r="C209" s="7"/>
    </row>
    <row r="210" spans="3:3" ht="15" customHeight="1" x14ac:dyDescent="0.25">
      <c r="C210" s="7"/>
    </row>
    <row r="211" spans="3:3" ht="15" customHeight="1" x14ac:dyDescent="0.25">
      <c r="C211" s="7"/>
    </row>
    <row r="212" spans="3:3" ht="15" customHeight="1" x14ac:dyDescent="0.25">
      <c r="C212" s="7"/>
    </row>
    <row r="213" spans="3:3" ht="15" customHeight="1" x14ac:dyDescent="0.25">
      <c r="C213" s="7"/>
    </row>
    <row r="214" spans="3:3" ht="15" customHeight="1" x14ac:dyDescent="0.25">
      <c r="C214" s="7"/>
    </row>
    <row r="215" spans="3:3" ht="15" customHeight="1" x14ac:dyDescent="0.25">
      <c r="C215" s="7"/>
    </row>
    <row r="216" spans="3:3" ht="15" customHeight="1" x14ac:dyDescent="0.25">
      <c r="C216" s="7"/>
    </row>
    <row r="217" spans="3:3" ht="15" customHeight="1" x14ac:dyDescent="0.25">
      <c r="C217" s="7"/>
    </row>
    <row r="218" spans="3:3" ht="15" customHeight="1" x14ac:dyDescent="0.25">
      <c r="C218" s="7"/>
    </row>
    <row r="219" spans="3:3" ht="15" customHeight="1" x14ac:dyDescent="0.25">
      <c r="C219" s="7"/>
    </row>
    <row r="220" spans="3:3" ht="15" customHeight="1" x14ac:dyDescent="0.25">
      <c r="C220" s="7"/>
    </row>
    <row r="221" spans="3:3" ht="15" customHeight="1" x14ac:dyDescent="0.25">
      <c r="C221" s="7"/>
    </row>
    <row r="222" spans="3:3" ht="15" customHeight="1" x14ac:dyDescent="0.25">
      <c r="C222" s="7"/>
    </row>
    <row r="223" spans="3:3" ht="15" customHeight="1" x14ac:dyDescent="0.25">
      <c r="C223" s="7"/>
    </row>
    <row r="224" spans="3:3" ht="15" customHeight="1" x14ac:dyDescent="0.25">
      <c r="C224" s="7"/>
    </row>
    <row r="225" spans="3:3" ht="15" customHeight="1" x14ac:dyDescent="0.25">
      <c r="C225" s="7"/>
    </row>
    <row r="226" spans="3:3" ht="15" customHeight="1" x14ac:dyDescent="0.25">
      <c r="C226" s="7"/>
    </row>
    <row r="227" spans="3:3" ht="15" customHeight="1" x14ac:dyDescent="0.25">
      <c r="C227" s="7"/>
    </row>
    <row r="228" spans="3:3" ht="15" customHeight="1" x14ac:dyDescent="0.25">
      <c r="C228" s="7"/>
    </row>
    <row r="229" spans="3:3" ht="15" customHeight="1" x14ac:dyDescent="0.25">
      <c r="C229" s="7"/>
    </row>
    <row r="230" spans="3:3" ht="15" customHeight="1" x14ac:dyDescent="0.25">
      <c r="C230" s="7"/>
    </row>
    <row r="231" spans="3:3" ht="15" customHeight="1" x14ac:dyDescent="0.25">
      <c r="C231" s="7"/>
    </row>
    <row r="232" spans="3:3" ht="15" customHeight="1" x14ac:dyDescent="0.25">
      <c r="C232" s="7"/>
    </row>
    <row r="233" spans="3:3" ht="15" customHeight="1" x14ac:dyDescent="0.25">
      <c r="C233" s="7"/>
    </row>
    <row r="234" spans="3:3" ht="15" customHeight="1" x14ac:dyDescent="0.25">
      <c r="C234" s="7"/>
    </row>
    <row r="235" spans="3:3" ht="15" customHeight="1" x14ac:dyDescent="0.25">
      <c r="C235" s="7"/>
    </row>
    <row r="236" spans="3:3" ht="15" customHeight="1" x14ac:dyDescent="0.25">
      <c r="C236" s="7"/>
    </row>
    <row r="237" spans="3:3" ht="15" customHeight="1" x14ac:dyDescent="0.25">
      <c r="C237" s="7"/>
    </row>
    <row r="238" spans="3:3" ht="15" customHeight="1" x14ac:dyDescent="0.25">
      <c r="C238" s="7"/>
    </row>
    <row r="239" spans="3:3" ht="15" customHeight="1" x14ac:dyDescent="0.25">
      <c r="C239" s="7"/>
    </row>
    <row r="240" spans="3:3" ht="15" customHeight="1" x14ac:dyDescent="0.25">
      <c r="C240" s="7"/>
    </row>
    <row r="241" spans="3:3" ht="15" customHeight="1" x14ac:dyDescent="0.25">
      <c r="C241" s="7"/>
    </row>
    <row r="242" spans="3:3" ht="15" customHeight="1" x14ac:dyDescent="0.25">
      <c r="C242" s="7"/>
    </row>
    <row r="243" spans="3:3" ht="15" customHeight="1" x14ac:dyDescent="0.25">
      <c r="C243" s="7"/>
    </row>
    <row r="244" spans="3:3" ht="15" customHeight="1" x14ac:dyDescent="0.25">
      <c r="C244" s="7"/>
    </row>
    <row r="245" spans="3:3" ht="15" customHeight="1" x14ac:dyDescent="0.25">
      <c r="C245" s="7"/>
    </row>
    <row r="246" spans="3:3" ht="15" customHeight="1" x14ac:dyDescent="0.25">
      <c r="C246" s="7"/>
    </row>
    <row r="247" spans="3:3" ht="15" customHeight="1" x14ac:dyDescent="0.25">
      <c r="C247" s="7"/>
    </row>
    <row r="248" spans="3:3" ht="15" customHeight="1" x14ac:dyDescent="0.25">
      <c r="C248" s="7"/>
    </row>
    <row r="249" spans="3:3" ht="15" customHeight="1" x14ac:dyDescent="0.25">
      <c r="C249" s="7"/>
    </row>
    <row r="250" spans="3:3" ht="15" customHeight="1" x14ac:dyDescent="0.25">
      <c r="C250" s="7"/>
    </row>
    <row r="251" spans="3:3" ht="15" customHeight="1" x14ac:dyDescent="0.25">
      <c r="C251" s="7"/>
    </row>
    <row r="252" spans="3:3" ht="15" customHeight="1" x14ac:dyDescent="0.25">
      <c r="C252" s="7"/>
    </row>
    <row r="253" spans="3:3" ht="15" customHeight="1" x14ac:dyDescent="0.25">
      <c r="C253" s="7"/>
    </row>
    <row r="254" spans="3:3" ht="15" customHeight="1" x14ac:dyDescent="0.25">
      <c r="C254" s="7"/>
    </row>
    <row r="255" spans="3:3" ht="15" customHeight="1" x14ac:dyDescent="0.25">
      <c r="C255" s="7"/>
    </row>
    <row r="256" spans="3:3" ht="15" customHeight="1" x14ac:dyDescent="0.25">
      <c r="C256" s="7"/>
    </row>
    <row r="257" spans="3:3" ht="15" customHeight="1" x14ac:dyDescent="0.25">
      <c r="C257" s="7"/>
    </row>
    <row r="258" spans="3:3" ht="15" customHeight="1" x14ac:dyDescent="0.25">
      <c r="C258" s="7"/>
    </row>
    <row r="259" spans="3:3" ht="15" customHeight="1" x14ac:dyDescent="0.25">
      <c r="C259" s="7"/>
    </row>
    <row r="260" spans="3:3" ht="15" customHeight="1" x14ac:dyDescent="0.25">
      <c r="C260" s="7"/>
    </row>
    <row r="261" spans="3:3" ht="15" customHeight="1" x14ac:dyDescent="0.25">
      <c r="C261" s="7"/>
    </row>
    <row r="262" spans="3:3" ht="15" customHeight="1" x14ac:dyDescent="0.25">
      <c r="C262" s="7"/>
    </row>
    <row r="263" spans="3:3" ht="15" customHeight="1" x14ac:dyDescent="0.25">
      <c r="C263" s="7"/>
    </row>
    <row r="264" spans="3:3" ht="15" customHeight="1" x14ac:dyDescent="0.25">
      <c r="C264" s="7"/>
    </row>
    <row r="265" spans="3:3" ht="15" customHeight="1" x14ac:dyDescent="0.25">
      <c r="C265" s="7"/>
    </row>
    <row r="266" spans="3:3" ht="15" customHeight="1" x14ac:dyDescent="0.25">
      <c r="C266" s="7"/>
    </row>
    <row r="267" spans="3:3" ht="15" customHeight="1" x14ac:dyDescent="0.25">
      <c r="C267" s="7"/>
    </row>
    <row r="268" spans="3:3" ht="15" customHeight="1" x14ac:dyDescent="0.25">
      <c r="C268" s="7"/>
    </row>
    <row r="269" spans="3:3" ht="15" customHeight="1" x14ac:dyDescent="0.25">
      <c r="C269" s="7"/>
    </row>
    <row r="270" spans="3:3" ht="15" customHeight="1" x14ac:dyDescent="0.25">
      <c r="C270" s="7"/>
    </row>
    <row r="271" spans="3:3" ht="15" customHeight="1" x14ac:dyDescent="0.25">
      <c r="C271" s="7"/>
    </row>
    <row r="272" spans="3:3" ht="15" customHeight="1" x14ac:dyDescent="0.25">
      <c r="C272" s="7"/>
    </row>
    <row r="273" spans="3:3" ht="15" customHeight="1" x14ac:dyDescent="0.25">
      <c r="C273" s="7"/>
    </row>
    <row r="274" spans="3:3" ht="15" customHeight="1" x14ac:dyDescent="0.25">
      <c r="C274" s="7"/>
    </row>
    <row r="275" spans="3:3" ht="15" customHeight="1" x14ac:dyDescent="0.25">
      <c r="C275" s="7"/>
    </row>
    <row r="276" spans="3:3" ht="15" customHeight="1" x14ac:dyDescent="0.25">
      <c r="C276" s="7"/>
    </row>
    <row r="277" spans="3:3" ht="15" customHeight="1" x14ac:dyDescent="0.25">
      <c r="C277" s="7"/>
    </row>
    <row r="278" spans="3:3" ht="15" customHeight="1" x14ac:dyDescent="0.25">
      <c r="C278" s="7"/>
    </row>
    <row r="279" spans="3:3" ht="15" customHeight="1" x14ac:dyDescent="0.25">
      <c r="C279" s="7"/>
    </row>
    <row r="280" spans="3:3" ht="15" customHeight="1" x14ac:dyDescent="0.25">
      <c r="C280" s="7"/>
    </row>
    <row r="281" spans="3:3" ht="15" customHeight="1" x14ac:dyDescent="0.25">
      <c r="C281" s="7"/>
    </row>
    <row r="282" spans="3:3" ht="15" customHeight="1" x14ac:dyDescent="0.25">
      <c r="C282" s="7"/>
    </row>
    <row r="283" spans="3:3" ht="15" customHeight="1" x14ac:dyDescent="0.25">
      <c r="C283" s="7"/>
    </row>
    <row r="284" spans="3:3" ht="15" customHeight="1" x14ac:dyDescent="0.25">
      <c r="C284" s="7"/>
    </row>
    <row r="285" spans="3:3" ht="15" customHeight="1" x14ac:dyDescent="0.25">
      <c r="C285" s="7"/>
    </row>
    <row r="286" spans="3:3" ht="15" customHeight="1" x14ac:dyDescent="0.25">
      <c r="C286" s="7"/>
    </row>
    <row r="287" spans="3:3" ht="15" customHeight="1" x14ac:dyDescent="0.25">
      <c r="C287" s="7"/>
    </row>
    <row r="288" spans="3:3" ht="15" customHeight="1" x14ac:dyDescent="0.25">
      <c r="C288" s="7"/>
    </row>
    <row r="289" spans="3:3" ht="15" customHeight="1" x14ac:dyDescent="0.25">
      <c r="C289" s="7"/>
    </row>
    <row r="290" spans="3:3" ht="15" customHeight="1" x14ac:dyDescent="0.25">
      <c r="C290" s="7"/>
    </row>
    <row r="291" spans="3:3" ht="15" customHeight="1" x14ac:dyDescent="0.25">
      <c r="C291" s="7"/>
    </row>
    <row r="292" spans="3:3" ht="15" customHeight="1" x14ac:dyDescent="0.25">
      <c r="C292" s="7"/>
    </row>
    <row r="293" spans="3:3" ht="15" customHeight="1" x14ac:dyDescent="0.25">
      <c r="C293" s="7"/>
    </row>
    <row r="294" spans="3:3" ht="15" customHeight="1" x14ac:dyDescent="0.25">
      <c r="C294" s="7"/>
    </row>
    <row r="295" spans="3:3" ht="15" customHeight="1" x14ac:dyDescent="0.25">
      <c r="C295" s="7"/>
    </row>
    <row r="296" spans="3:3" ht="15" customHeight="1" x14ac:dyDescent="0.25">
      <c r="C296" s="7"/>
    </row>
    <row r="297" spans="3:3" ht="15" customHeight="1" x14ac:dyDescent="0.25">
      <c r="C297" s="7"/>
    </row>
    <row r="298" spans="3:3" ht="15" customHeight="1" x14ac:dyDescent="0.25">
      <c r="C298" s="7"/>
    </row>
    <row r="299" spans="3:3" ht="15" customHeight="1" x14ac:dyDescent="0.25">
      <c r="C299" s="7"/>
    </row>
    <row r="300" spans="3:3" ht="15" customHeight="1" x14ac:dyDescent="0.25">
      <c r="C300" s="7"/>
    </row>
    <row r="301" spans="3:3" ht="15" customHeight="1" x14ac:dyDescent="0.25">
      <c r="C301" s="7"/>
    </row>
    <row r="302" spans="3:3" ht="15" customHeight="1" x14ac:dyDescent="0.25">
      <c r="C302" s="7"/>
    </row>
    <row r="303" spans="3:3" ht="15" customHeight="1" x14ac:dyDescent="0.25">
      <c r="C303" s="7"/>
    </row>
    <row r="304" spans="3:3" ht="15" customHeight="1" x14ac:dyDescent="0.25">
      <c r="C304" s="7"/>
    </row>
    <row r="305" spans="3:3" ht="15" customHeight="1" x14ac:dyDescent="0.25">
      <c r="C305" s="7"/>
    </row>
    <row r="306" spans="3:3" ht="15" customHeight="1" x14ac:dyDescent="0.25">
      <c r="C306" s="7"/>
    </row>
    <row r="307" spans="3:3" ht="15" customHeight="1" x14ac:dyDescent="0.25">
      <c r="C307" s="7"/>
    </row>
    <row r="308" spans="3:3" ht="15" customHeight="1" x14ac:dyDescent="0.25">
      <c r="C308" s="7"/>
    </row>
    <row r="309" spans="3:3" ht="15" customHeight="1" x14ac:dyDescent="0.25">
      <c r="C309" s="7"/>
    </row>
    <row r="310" spans="3:3" ht="15" customHeight="1" x14ac:dyDescent="0.25">
      <c r="C310" s="7"/>
    </row>
    <row r="311" spans="3:3" ht="15" customHeight="1" x14ac:dyDescent="0.25">
      <c r="C311" s="7"/>
    </row>
    <row r="312" spans="3:3" ht="15" customHeight="1" x14ac:dyDescent="0.25">
      <c r="C312" s="7"/>
    </row>
    <row r="313" spans="3:3" ht="15" customHeight="1" x14ac:dyDescent="0.25">
      <c r="C313" s="7"/>
    </row>
    <row r="314" spans="3:3" ht="15" customHeight="1" x14ac:dyDescent="0.25">
      <c r="C314" s="7"/>
    </row>
    <row r="315" spans="3:3" ht="15" customHeight="1" x14ac:dyDescent="0.25">
      <c r="C315" s="7"/>
    </row>
    <row r="316" spans="3:3" ht="15" customHeight="1" x14ac:dyDescent="0.25">
      <c r="C316" s="7"/>
    </row>
    <row r="317" spans="3:3" ht="15" customHeight="1" x14ac:dyDescent="0.25">
      <c r="C317" s="7"/>
    </row>
    <row r="318" spans="3:3" ht="15" customHeight="1" x14ac:dyDescent="0.25">
      <c r="C318" s="7"/>
    </row>
    <row r="319" spans="3:3" ht="15" customHeight="1" x14ac:dyDescent="0.25">
      <c r="C319" s="7"/>
    </row>
    <row r="320" spans="3:3" ht="15" customHeight="1" x14ac:dyDescent="0.25">
      <c r="C320" s="7"/>
    </row>
    <row r="321" spans="3:3" ht="15" customHeight="1" x14ac:dyDescent="0.25">
      <c r="C321" s="7"/>
    </row>
    <row r="322" spans="3:3" ht="15" customHeight="1" x14ac:dyDescent="0.25">
      <c r="C322" s="7"/>
    </row>
    <row r="323" spans="3:3" ht="15" customHeight="1" x14ac:dyDescent="0.25">
      <c r="C323" s="7"/>
    </row>
    <row r="324" spans="3:3" ht="15" customHeight="1" x14ac:dyDescent="0.25">
      <c r="C324" s="7"/>
    </row>
    <row r="325" spans="3:3" ht="15" customHeight="1" x14ac:dyDescent="0.25">
      <c r="C325" s="7"/>
    </row>
    <row r="326" spans="3:3" ht="15" customHeight="1" x14ac:dyDescent="0.25">
      <c r="C326" s="7"/>
    </row>
    <row r="327" spans="3:3" ht="15" customHeight="1" x14ac:dyDescent="0.25">
      <c r="C327" s="7"/>
    </row>
    <row r="328" spans="3:3" ht="15" customHeight="1" x14ac:dyDescent="0.25">
      <c r="C328" s="7"/>
    </row>
    <row r="329" spans="3:3" ht="15" customHeight="1" x14ac:dyDescent="0.25">
      <c r="C329" s="7"/>
    </row>
    <row r="330" spans="3:3" ht="15" customHeight="1" x14ac:dyDescent="0.25">
      <c r="C330" s="7"/>
    </row>
    <row r="331" spans="3:3" ht="15" customHeight="1" x14ac:dyDescent="0.25">
      <c r="C331" s="7"/>
    </row>
    <row r="332" spans="3:3" ht="15" customHeight="1" x14ac:dyDescent="0.25">
      <c r="C332" s="7"/>
    </row>
    <row r="333" spans="3:3" ht="15" customHeight="1" x14ac:dyDescent="0.25">
      <c r="C333" s="7"/>
    </row>
    <row r="334" spans="3:3" ht="15" customHeight="1" x14ac:dyDescent="0.25">
      <c r="C334" s="7"/>
    </row>
    <row r="335" spans="3:3" ht="15" customHeight="1" x14ac:dyDescent="0.25">
      <c r="C335" s="7"/>
    </row>
    <row r="336" spans="3:3" ht="15" customHeight="1" x14ac:dyDescent="0.25">
      <c r="C336" s="7"/>
    </row>
    <row r="337" spans="3:3" ht="15" customHeight="1" x14ac:dyDescent="0.25">
      <c r="C337" s="7"/>
    </row>
    <row r="338" spans="3:3" ht="15" customHeight="1" x14ac:dyDescent="0.25">
      <c r="C338" s="7"/>
    </row>
    <row r="339" spans="3:3" ht="15" customHeight="1" x14ac:dyDescent="0.25">
      <c r="C339" s="7"/>
    </row>
    <row r="340" spans="3:3" ht="15" customHeight="1" x14ac:dyDescent="0.25">
      <c r="C340" s="7"/>
    </row>
    <row r="341" spans="3:3" ht="15" customHeight="1" x14ac:dyDescent="0.25">
      <c r="C341" s="7"/>
    </row>
    <row r="342" spans="3:3" ht="15" customHeight="1" x14ac:dyDescent="0.25">
      <c r="C342" s="7"/>
    </row>
    <row r="343" spans="3:3" ht="15" customHeight="1" x14ac:dyDescent="0.25">
      <c r="C343" s="7"/>
    </row>
    <row r="344" spans="3:3" ht="15" customHeight="1" x14ac:dyDescent="0.25">
      <c r="C344" s="7"/>
    </row>
    <row r="345" spans="3:3" ht="15" customHeight="1" x14ac:dyDescent="0.25">
      <c r="C345" s="7"/>
    </row>
    <row r="346" spans="3:3" ht="15" customHeight="1" x14ac:dyDescent="0.25">
      <c r="C346" s="7"/>
    </row>
    <row r="347" spans="3:3" ht="15" customHeight="1" x14ac:dyDescent="0.25">
      <c r="C347" s="7"/>
    </row>
    <row r="348" spans="3:3" ht="15" customHeight="1" x14ac:dyDescent="0.25">
      <c r="C348" s="7"/>
    </row>
    <row r="349" spans="3:3" ht="15" customHeight="1" x14ac:dyDescent="0.25">
      <c r="C349" s="7"/>
    </row>
    <row r="350" spans="3:3" ht="15" customHeight="1" x14ac:dyDescent="0.25">
      <c r="C350" s="7"/>
    </row>
    <row r="351" spans="3:3" ht="15" customHeight="1" x14ac:dyDescent="0.25">
      <c r="C351" s="7"/>
    </row>
    <row r="352" spans="3:3" ht="15" customHeight="1" x14ac:dyDescent="0.25">
      <c r="C352" s="7"/>
    </row>
    <row r="353" spans="3:3" ht="15" customHeight="1" x14ac:dyDescent="0.25">
      <c r="C353" s="7"/>
    </row>
    <row r="354" spans="3:3" ht="15" customHeight="1" x14ac:dyDescent="0.25">
      <c r="C354" s="7"/>
    </row>
    <row r="355" spans="3:3" ht="15" customHeight="1" x14ac:dyDescent="0.25">
      <c r="C355" s="7"/>
    </row>
    <row r="356" spans="3:3" ht="15" customHeight="1" x14ac:dyDescent="0.25">
      <c r="C356" s="7"/>
    </row>
    <row r="357" spans="3:3" ht="15" customHeight="1" x14ac:dyDescent="0.25">
      <c r="C357" s="7"/>
    </row>
    <row r="358" spans="3:3" ht="15" customHeight="1" x14ac:dyDescent="0.25">
      <c r="C358" s="7"/>
    </row>
    <row r="359" spans="3:3" ht="15" customHeight="1" x14ac:dyDescent="0.25">
      <c r="C359" s="7"/>
    </row>
    <row r="360" spans="3:3" ht="15" customHeight="1" x14ac:dyDescent="0.25">
      <c r="C360" s="7"/>
    </row>
    <row r="361" spans="3:3" ht="15" customHeight="1" x14ac:dyDescent="0.25">
      <c r="C361" s="7"/>
    </row>
    <row r="362" spans="3:3" ht="15" customHeight="1" x14ac:dyDescent="0.25">
      <c r="C362" s="7"/>
    </row>
    <row r="363" spans="3:3" ht="15" customHeight="1" x14ac:dyDescent="0.25">
      <c r="C363" s="7"/>
    </row>
    <row r="364" spans="3:3" ht="15" customHeight="1" x14ac:dyDescent="0.25">
      <c r="C364" s="7"/>
    </row>
    <row r="365" spans="3:3" ht="15" customHeight="1" x14ac:dyDescent="0.25">
      <c r="C365" s="7"/>
    </row>
    <row r="366" spans="3:3" ht="15" customHeight="1" x14ac:dyDescent="0.25">
      <c r="C366" s="7"/>
    </row>
    <row r="367" spans="3:3" ht="15" customHeight="1" x14ac:dyDescent="0.25">
      <c r="C367" s="7"/>
    </row>
    <row r="368" spans="3:3" ht="15" customHeight="1" x14ac:dyDescent="0.25">
      <c r="C368" s="7"/>
    </row>
    <row r="369" spans="3:3" ht="15" customHeight="1" x14ac:dyDescent="0.25">
      <c r="C369" s="7"/>
    </row>
    <row r="370" spans="3:3" ht="15" customHeight="1" x14ac:dyDescent="0.25">
      <c r="C370" s="7"/>
    </row>
    <row r="371" spans="3:3" ht="15" customHeight="1" x14ac:dyDescent="0.25">
      <c r="C371" s="7"/>
    </row>
    <row r="372" spans="3:3" ht="15" customHeight="1" x14ac:dyDescent="0.25">
      <c r="C372" s="7"/>
    </row>
    <row r="373" spans="3:3" ht="15" customHeight="1" x14ac:dyDescent="0.25">
      <c r="C373" s="7"/>
    </row>
    <row r="374" spans="3:3" ht="15" customHeight="1" x14ac:dyDescent="0.25">
      <c r="C374" s="7"/>
    </row>
    <row r="375" spans="3:3" ht="15" customHeight="1" x14ac:dyDescent="0.25">
      <c r="C375" s="7"/>
    </row>
    <row r="376" spans="3:3" ht="15" customHeight="1" x14ac:dyDescent="0.25">
      <c r="C376" s="7"/>
    </row>
    <row r="377" spans="3:3" ht="15" customHeight="1" x14ac:dyDescent="0.25">
      <c r="C377" s="7"/>
    </row>
    <row r="378" spans="3:3" ht="15" customHeight="1" x14ac:dyDescent="0.25">
      <c r="C378" s="7"/>
    </row>
    <row r="379" spans="3:3" ht="15" customHeight="1" x14ac:dyDescent="0.25">
      <c r="C379" s="7"/>
    </row>
    <row r="380" spans="3:3" ht="15" customHeight="1" x14ac:dyDescent="0.25">
      <c r="C380" s="7"/>
    </row>
    <row r="381" spans="3:3" ht="15" customHeight="1" x14ac:dyDescent="0.25">
      <c r="C381" s="7"/>
    </row>
    <row r="382" spans="3:3" ht="15" customHeight="1" x14ac:dyDescent="0.25">
      <c r="C382" s="7"/>
    </row>
    <row r="383" spans="3:3" ht="15" customHeight="1" x14ac:dyDescent="0.25">
      <c r="C383" s="7"/>
    </row>
    <row r="384" spans="3:3" ht="15" customHeight="1" x14ac:dyDescent="0.25">
      <c r="C384" s="7"/>
    </row>
  </sheetData>
  <mergeCells count="25">
    <mergeCell ref="C26:E26"/>
    <mergeCell ref="A27:A30"/>
    <mergeCell ref="B27:B30"/>
    <mergeCell ref="C27:E30"/>
    <mergeCell ref="C31:E31"/>
    <mergeCell ref="C22:E22"/>
    <mergeCell ref="A23:A25"/>
    <mergeCell ref="B23:B25"/>
    <mergeCell ref="C23:E23"/>
    <mergeCell ref="C24:E24"/>
    <mergeCell ref="C25:E25"/>
    <mergeCell ref="C21:E21"/>
    <mergeCell ref="A1:E1"/>
    <mergeCell ref="A5:A11"/>
    <mergeCell ref="A12:A15"/>
    <mergeCell ref="B12:B15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092D6-19E3-4769-827C-84D10D1A9088}">
  <dimension ref="A1:AH28"/>
  <sheetViews>
    <sheetView workbookViewId="0">
      <selection activeCell="E13" sqref="E13"/>
    </sheetView>
  </sheetViews>
  <sheetFormatPr defaultRowHeight="15" x14ac:dyDescent="0.25"/>
  <cols>
    <col min="1" max="1" width="5.42578125" customWidth="1"/>
    <col min="2" max="2" width="29.140625" style="148" customWidth="1"/>
    <col min="3" max="3" width="16.7109375" customWidth="1"/>
    <col min="4" max="4" width="9.140625" style="149"/>
    <col min="5" max="5" width="15.42578125" style="150" customWidth="1"/>
    <col min="6" max="8" width="9.140625" style="149"/>
    <col min="9" max="9" width="26.85546875" customWidth="1"/>
    <col min="11" max="11" width="20.140625" customWidth="1"/>
    <col min="12" max="15" width="5.42578125" customWidth="1"/>
    <col min="16" max="16" width="6.28515625" customWidth="1"/>
    <col min="20" max="20" width="26.7109375" style="149" customWidth="1"/>
    <col min="22" max="22" width="16.42578125" customWidth="1"/>
    <col min="27" max="27" width="29.42578125" style="149" customWidth="1"/>
    <col min="29" max="29" width="14" customWidth="1"/>
    <col min="34" max="34" width="26.28515625" customWidth="1"/>
  </cols>
  <sheetData>
    <row r="1" spans="1:34" ht="18.75" x14ac:dyDescent="0.3">
      <c r="A1" s="350" t="s">
        <v>242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  <c r="Y1" s="351"/>
      <c r="Z1" s="351"/>
      <c r="AA1" s="351"/>
      <c r="AB1" s="351"/>
      <c r="AC1" s="351"/>
      <c r="AD1" s="351"/>
      <c r="AE1" s="351"/>
      <c r="AF1" s="351"/>
      <c r="AG1" s="351"/>
      <c r="AH1" s="352"/>
    </row>
    <row r="2" spans="1:34" ht="24" x14ac:dyDescent="0.25">
      <c r="A2" s="353" t="s">
        <v>243</v>
      </c>
      <c r="B2" s="355" t="s">
        <v>244</v>
      </c>
      <c r="C2" s="353" t="s">
        <v>245</v>
      </c>
      <c r="D2" s="357" t="s">
        <v>246</v>
      </c>
      <c r="E2" s="358"/>
      <c r="F2" s="358"/>
      <c r="G2" s="358"/>
      <c r="H2" s="358"/>
      <c r="I2" s="359"/>
      <c r="J2" s="360" t="s">
        <v>247</v>
      </c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60" t="s">
        <v>248</v>
      </c>
      <c r="V2" s="361"/>
      <c r="W2" s="361"/>
      <c r="X2" s="361"/>
      <c r="Y2" s="361"/>
      <c r="Z2" s="361"/>
      <c r="AA2" s="362"/>
      <c r="AB2" s="360" t="s">
        <v>249</v>
      </c>
      <c r="AC2" s="361"/>
      <c r="AD2" s="361"/>
      <c r="AE2" s="361"/>
      <c r="AF2" s="361"/>
      <c r="AG2" s="361"/>
      <c r="AH2" s="362"/>
    </row>
    <row r="3" spans="1:34" ht="31.5" x14ac:dyDescent="0.25">
      <c r="A3" s="354"/>
      <c r="B3" s="356"/>
      <c r="C3" s="354"/>
      <c r="D3" s="124" t="s">
        <v>0</v>
      </c>
      <c r="E3" s="125" t="s">
        <v>250</v>
      </c>
      <c r="F3" s="124" t="s">
        <v>1</v>
      </c>
      <c r="G3" s="124" t="s">
        <v>251</v>
      </c>
      <c r="H3" s="124" t="s">
        <v>252</v>
      </c>
      <c r="I3" s="126" t="s">
        <v>253</v>
      </c>
      <c r="J3" s="124" t="s">
        <v>0</v>
      </c>
      <c r="K3" s="126" t="s">
        <v>250</v>
      </c>
      <c r="L3" s="126" t="s">
        <v>254</v>
      </c>
      <c r="M3" s="126" t="s">
        <v>255</v>
      </c>
      <c r="N3" s="126" t="s">
        <v>256</v>
      </c>
      <c r="O3" s="126" t="s">
        <v>257</v>
      </c>
      <c r="P3" s="127" t="s">
        <v>2</v>
      </c>
      <c r="Q3" s="124" t="s">
        <v>251</v>
      </c>
      <c r="R3" s="124" t="s">
        <v>252</v>
      </c>
      <c r="S3" s="124" t="s">
        <v>258</v>
      </c>
      <c r="T3" s="126" t="s">
        <v>253</v>
      </c>
      <c r="U3" s="124" t="s">
        <v>0</v>
      </c>
      <c r="V3" s="126" t="s">
        <v>250</v>
      </c>
      <c r="W3" s="124" t="s">
        <v>1</v>
      </c>
      <c r="X3" s="128" t="s">
        <v>251</v>
      </c>
      <c r="Y3" s="128" t="s">
        <v>252</v>
      </c>
      <c r="Z3" s="128" t="s">
        <v>259</v>
      </c>
      <c r="AA3" s="126" t="s">
        <v>253</v>
      </c>
      <c r="AB3" s="124" t="s">
        <v>0</v>
      </c>
      <c r="AC3" s="126" t="s">
        <v>250</v>
      </c>
      <c r="AD3" s="124" t="s">
        <v>1</v>
      </c>
      <c r="AE3" s="124" t="s">
        <v>251</v>
      </c>
      <c r="AF3" s="128" t="s">
        <v>260</v>
      </c>
      <c r="AG3" s="128" t="s">
        <v>259</v>
      </c>
      <c r="AH3" s="126" t="s">
        <v>253</v>
      </c>
    </row>
    <row r="4" spans="1:34" x14ac:dyDescent="0.25">
      <c r="A4" s="1">
        <v>1</v>
      </c>
      <c r="B4" s="129" t="s">
        <v>3</v>
      </c>
      <c r="C4" s="2" t="s">
        <v>261</v>
      </c>
      <c r="D4" s="1">
        <v>7</v>
      </c>
      <c r="E4" s="130" t="s">
        <v>261</v>
      </c>
      <c r="F4" s="3">
        <v>7</v>
      </c>
      <c r="G4" s="3">
        <v>0</v>
      </c>
      <c r="H4" s="3">
        <v>0</v>
      </c>
      <c r="I4" s="1" t="s">
        <v>262</v>
      </c>
      <c r="J4" s="1">
        <v>3</v>
      </c>
      <c r="K4" s="130" t="s">
        <v>263</v>
      </c>
      <c r="L4" s="3">
        <v>0</v>
      </c>
      <c r="M4" s="3">
        <v>2</v>
      </c>
      <c r="N4" s="3">
        <v>0</v>
      </c>
      <c r="O4" s="3">
        <v>0</v>
      </c>
      <c r="P4" s="127">
        <f>SUM(L4:O4)</f>
        <v>2</v>
      </c>
      <c r="Q4" s="3">
        <v>1</v>
      </c>
      <c r="R4" s="3">
        <v>0</v>
      </c>
      <c r="S4" s="3">
        <v>0</v>
      </c>
      <c r="T4" s="130" t="s">
        <v>264</v>
      </c>
      <c r="U4" s="1">
        <v>1</v>
      </c>
      <c r="V4" s="130" t="s">
        <v>265</v>
      </c>
      <c r="W4" s="3">
        <v>0</v>
      </c>
      <c r="X4" s="3">
        <v>0</v>
      </c>
      <c r="Y4" s="3">
        <v>0</v>
      </c>
      <c r="Z4" s="3">
        <v>1</v>
      </c>
      <c r="AA4" s="1" t="s">
        <v>266</v>
      </c>
      <c r="AB4" s="1">
        <v>0</v>
      </c>
      <c r="AC4" s="130" t="s">
        <v>261</v>
      </c>
      <c r="AD4" s="3">
        <v>0</v>
      </c>
      <c r="AE4" s="3">
        <v>0</v>
      </c>
      <c r="AF4" s="3">
        <v>0</v>
      </c>
      <c r="AG4" s="3">
        <v>0</v>
      </c>
      <c r="AH4" s="1"/>
    </row>
    <row r="5" spans="1:34" ht="30" x14ac:dyDescent="0.25">
      <c r="A5" s="1">
        <v>2</v>
      </c>
      <c r="B5" s="129" t="s">
        <v>4</v>
      </c>
      <c r="C5" s="2" t="s">
        <v>267</v>
      </c>
      <c r="D5" s="1">
        <v>10</v>
      </c>
      <c r="E5" s="130" t="s">
        <v>268</v>
      </c>
      <c r="F5" s="3">
        <v>10</v>
      </c>
      <c r="G5" s="3">
        <v>0</v>
      </c>
      <c r="H5" s="3">
        <v>0</v>
      </c>
      <c r="I5" s="256" t="s">
        <v>269</v>
      </c>
      <c r="J5" s="1">
        <v>11</v>
      </c>
      <c r="K5" s="131" t="s">
        <v>270</v>
      </c>
      <c r="L5" s="132">
        <v>2</v>
      </c>
      <c r="M5" s="132">
        <v>3</v>
      </c>
      <c r="N5" s="132">
        <v>1</v>
      </c>
      <c r="O5" s="132">
        <v>0</v>
      </c>
      <c r="P5" s="127">
        <f>SUM(L5:O5)</f>
        <v>6</v>
      </c>
      <c r="Q5" s="3">
        <v>3</v>
      </c>
      <c r="R5" s="3">
        <v>0</v>
      </c>
      <c r="S5" s="3">
        <v>2</v>
      </c>
      <c r="T5" s="280" t="s">
        <v>271</v>
      </c>
      <c r="U5" s="1">
        <v>25</v>
      </c>
      <c r="V5" s="131" t="s">
        <v>272</v>
      </c>
      <c r="W5" s="3">
        <v>15</v>
      </c>
      <c r="X5" s="3">
        <v>1</v>
      </c>
      <c r="Y5" s="3">
        <v>0</v>
      </c>
      <c r="Z5" s="3">
        <v>9</v>
      </c>
      <c r="AA5" s="256" t="s">
        <v>273</v>
      </c>
      <c r="AB5" s="1">
        <v>2</v>
      </c>
      <c r="AC5" s="133" t="s">
        <v>274</v>
      </c>
      <c r="AD5" s="3">
        <v>2</v>
      </c>
      <c r="AE5" s="3">
        <v>0</v>
      </c>
      <c r="AF5" s="3">
        <v>0</v>
      </c>
      <c r="AG5" s="3">
        <v>0</v>
      </c>
      <c r="AH5" s="256" t="s">
        <v>275</v>
      </c>
    </row>
    <row r="6" spans="1:34" x14ac:dyDescent="0.25">
      <c r="A6" s="256">
        <v>3</v>
      </c>
      <c r="B6" s="364" t="s">
        <v>276</v>
      </c>
      <c r="C6" s="333" t="s">
        <v>277</v>
      </c>
      <c r="D6" s="133">
        <v>19</v>
      </c>
      <c r="E6" s="131" t="s">
        <v>278</v>
      </c>
      <c r="F6" s="132">
        <v>17</v>
      </c>
      <c r="G6" s="132">
        <v>1</v>
      </c>
      <c r="H6" s="132">
        <v>0</v>
      </c>
      <c r="I6" s="257"/>
      <c r="J6" s="1">
        <v>20</v>
      </c>
      <c r="K6" s="131" t="s">
        <v>279</v>
      </c>
      <c r="L6" s="132">
        <v>2</v>
      </c>
      <c r="M6" s="132">
        <v>9</v>
      </c>
      <c r="N6" s="132">
        <v>0</v>
      </c>
      <c r="O6" s="132">
        <v>0</v>
      </c>
      <c r="P6" s="127">
        <f t="shared" ref="P6:P7" si="0">SUM(L6:O6)</f>
        <v>11</v>
      </c>
      <c r="Q6" s="3">
        <v>3</v>
      </c>
      <c r="R6" s="3">
        <v>0</v>
      </c>
      <c r="S6" s="3">
        <v>6</v>
      </c>
      <c r="T6" s="281"/>
      <c r="U6" s="1">
        <v>21</v>
      </c>
      <c r="V6" s="131" t="s">
        <v>280</v>
      </c>
      <c r="W6" s="3">
        <v>15</v>
      </c>
      <c r="X6" s="3">
        <v>0</v>
      </c>
      <c r="Y6" s="3">
        <v>0</v>
      </c>
      <c r="Z6" s="3">
        <v>2</v>
      </c>
      <c r="AA6" s="257"/>
      <c r="AB6" s="1">
        <v>7</v>
      </c>
      <c r="AC6" s="133" t="s">
        <v>279</v>
      </c>
      <c r="AD6" s="3">
        <v>3</v>
      </c>
      <c r="AE6" s="3">
        <v>2</v>
      </c>
      <c r="AF6" s="3">
        <v>0</v>
      </c>
      <c r="AG6" s="3">
        <v>2</v>
      </c>
      <c r="AH6" s="257"/>
    </row>
    <row r="7" spans="1:34" ht="30" x14ac:dyDescent="0.25">
      <c r="A7" s="257"/>
      <c r="B7" s="365"/>
      <c r="C7" s="313"/>
      <c r="D7" s="133">
        <v>3</v>
      </c>
      <c r="E7" s="131" t="s">
        <v>281</v>
      </c>
      <c r="F7" s="132">
        <v>3</v>
      </c>
      <c r="G7" s="132">
        <v>0</v>
      </c>
      <c r="H7" s="132">
        <v>0</v>
      </c>
      <c r="I7" s="257"/>
      <c r="J7" s="1">
        <v>10</v>
      </c>
      <c r="K7" s="130" t="s">
        <v>282</v>
      </c>
      <c r="L7" s="3">
        <v>0</v>
      </c>
      <c r="M7" s="3">
        <v>9</v>
      </c>
      <c r="N7" s="3">
        <v>0</v>
      </c>
      <c r="O7" s="3">
        <v>0</v>
      </c>
      <c r="P7" s="127">
        <f t="shared" si="0"/>
        <v>9</v>
      </c>
      <c r="Q7" s="3">
        <v>1</v>
      </c>
      <c r="R7" s="3">
        <v>0</v>
      </c>
      <c r="S7" s="3">
        <v>0</v>
      </c>
      <c r="T7" s="281"/>
      <c r="U7" s="1">
        <v>18</v>
      </c>
      <c r="V7" s="131" t="s">
        <v>283</v>
      </c>
      <c r="W7" s="3">
        <v>13</v>
      </c>
      <c r="X7" s="3">
        <v>3</v>
      </c>
      <c r="Y7" s="3">
        <v>0</v>
      </c>
      <c r="Z7" s="3">
        <v>2</v>
      </c>
      <c r="AA7" s="257"/>
      <c r="AB7" s="366">
        <v>1</v>
      </c>
      <c r="AC7" s="367" t="s">
        <v>5</v>
      </c>
      <c r="AD7" s="368">
        <v>0</v>
      </c>
      <c r="AE7" s="368">
        <v>1</v>
      </c>
      <c r="AF7" s="369">
        <v>0</v>
      </c>
      <c r="AG7" s="368">
        <v>0</v>
      </c>
      <c r="AH7" s="257"/>
    </row>
    <row r="8" spans="1:34" ht="30" x14ac:dyDescent="0.25">
      <c r="A8" s="257"/>
      <c r="B8" s="365"/>
      <c r="C8" s="313"/>
      <c r="D8" s="133">
        <v>1</v>
      </c>
      <c r="E8" s="129" t="s">
        <v>284</v>
      </c>
      <c r="F8" s="132">
        <v>1</v>
      </c>
      <c r="G8" s="132">
        <v>0</v>
      </c>
      <c r="H8" s="132">
        <v>0</v>
      </c>
      <c r="I8" s="257"/>
      <c r="J8" s="134">
        <v>23</v>
      </c>
      <c r="K8" s="135" t="s">
        <v>285</v>
      </c>
      <c r="L8" s="136">
        <v>2</v>
      </c>
      <c r="M8" s="136">
        <v>15</v>
      </c>
      <c r="N8" s="136">
        <v>0</v>
      </c>
      <c r="O8" s="136">
        <v>2</v>
      </c>
      <c r="P8" s="127">
        <f>SUM(L8:O8)</f>
        <v>19</v>
      </c>
      <c r="Q8" s="134">
        <v>2</v>
      </c>
      <c r="R8" s="134">
        <v>0</v>
      </c>
      <c r="S8" s="134">
        <v>2</v>
      </c>
      <c r="T8" s="281"/>
      <c r="U8" s="364">
        <v>15</v>
      </c>
      <c r="V8" s="333" t="s">
        <v>286</v>
      </c>
      <c r="W8" s="372">
        <v>11</v>
      </c>
      <c r="X8" s="375">
        <v>0</v>
      </c>
      <c r="Y8" s="372">
        <v>0</v>
      </c>
      <c r="Z8" s="375">
        <v>0</v>
      </c>
      <c r="AA8" s="257"/>
      <c r="AB8" s="366"/>
      <c r="AC8" s="367"/>
      <c r="AD8" s="368"/>
      <c r="AE8" s="368"/>
      <c r="AF8" s="370"/>
      <c r="AG8" s="368"/>
      <c r="AH8" s="257"/>
    </row>
    <row r="9" spans="1:34" x14ac:dyDescent="0.25">
      <c r="A9" s="257"/>
      <c r="B9" s="365"/>
      <c r="C9" s="341"/>
      <c r="D9" s="137"/>
      <c r="E9" s="138"/>
      <c r="F9" s="137"/>
      <c r="G9" s="137"/>
      <c r="H9" s="137"/>
      <c r="I9" s="381"/>
      <c r="J9" s="1">
        <v>8</v>
      </c>
      <c r="K9" s="131" t="s">
        <v>287</v>
      </c>
      <c r="L9" s="132">
        <v>4</v>
      </c>
      <c r="M9" s="132">
        <v>2</v>
      </c>
      <c r="N9" s="132">
        <v>2</v>
      </c>
      <c r="O9" s="132">
        <v>0</v>
      </c>
      <c r="P9" s="127">
        <f t="shared" ref="P9:P10" si="1">SUM(L9:O9)</f>
        <v>8</v>
      </c>
      <c r="Q9" s="3">
        <v>0</v>
      </c>
      <c r="R9" s="3">
        <v>0</v>
      </c>
      <c r="S9" s="3">
        <v>0</v>
      </c>
      <c r="T9" s="281"/>
      <c r="U9" s="365"/>
      <c r="V9" s="313"/>
      <c r="W9" s="373"/>
      <c r="X9" s="375"/>
      <c r="Y9" s="373"/>
      <c r="Z9" s="375"/>
      <c r="AA9" s="257"/>
      <c r="AB9" s="257">
        <v>17</v>
      </c>
      <c r="AC9" s="367" t="s">
        <v>288</v>
      </c>
      <c r="AD9" s="368">
        <v>11</v>
      </c>
      <c r="AE9" s="368">
        <v>3</v>
      </c>
      <c r="AF9" s="369">
        <v>0</v>
      </c>
      <c r="AG9" s="368">
        <v>2</v>
      </c>
      <c r="AH9" s="257"/>
    </row>
    <row r="10" spans="1:34" x14ac:dyDescent="0.25">
      <c r="A10" s="257"/>
      <c r="B10" s="365"/>
      <c r="C10" s="341"/>
      <c r="D10" s="129"/>
      <c r="E10" s="129"/>
      <c r="F10" s="139"/>
      <c r="G10" s="139"/>
      <c r="H10" s="139"/>
      <c r="I10" s="381"/>
      <c r="J10" s="256">
        <v>4</v>
      </c>
      <c r="K10" s="256" t="s">
        <v>286</v>
      </c>
      <c r="L10" s="369">
        <v>1</v>
      </c>
      <c r="M10" s="369">
        <v>1</v>
      </c>
      <c r="N10" s="369">
        <v>0</v>
      </c>
      <c r="O10" s="369">
        <v>0</v>
      </c>
      <c r="P10" s="377">
        <f t="shared" si="1"/>
        <v>2</v>
      </c>
      <c r="Q10" s="369">
        <v>1</v>
      </c>
      <c r="R10" s="369">
        <v>0</v>
      </c>
      <c r="S10" s="369">
        <v>1</v>
      </c>
      <c r="T10" s="281"/>
      <c r="U10" s="365"/>
      <c r="V10" s="313"/>
      <c r="W10" s="373"/>
      <c r="X10" s="375"/>
      <c r="Y10" s="373"/>
      <c r="Z10" s="375"/>
      <c r="AA10" s="257"/>
      <c r="AB10" s="363"/>
      <c r="AC10" s="367"/>
      <c r="AD10" s="368"/>
      <c r="AE10" s="368"/>
      <c r="AF10" s="370"/>
      <c r="AG10" s="368"/>
      <c r="AH10" s="257"/>
    </row>
    <row r="11" spans="1:34" x14ac:dyDescent="0.25">
      <c r="A11" s="257"/>
      <c r="B11" s="365"/>
      <c r="C11" s="380" t="s">
        <v>6</v>
      </c>
      <c r="D11" s="133">
        <v>26</v>
      </c>
      <c r="E11" s="131" t="s">
        <v>278</v>
      </c>
      <c r="F11" s="132">
        <v>22</v>
      </c>
      <c r="G11" s="132">
        <v>2</v>
      </c>
      <c r="H11" s="132">
        <v>0</v>
      </c>
      <c r="I11" s="257"/>
      <c r="J11" s="257"/>
      <c r="K11" s="257"/>
      <c r="L11" s="376"/>
      <c r="M11" s="376"/>
      <c r="N11" s="376"/>
      <c r="O11" s="376"/>
      <c r="P11" s="378"/>
      <c r="Q11" s="376"/>
      <c r="R11" s="376"/>
      <c r="S11" s="376"/>
      <c r="T11" s="281"/>
      <c r="U11" s="365"/>
      <c r="V11" s="313"/>
      <c r="W11" s="373"/>
      <c r="X11" s="375"/>
      <c r="Y11" s="373"/>
      <c r="Z11" s="375"/>
      <c r="AA11" s="257"/>
      <c r="AB11" s="364">
        <v>2</v>
      </c>
      <c r="AC11" s="364" t="s">
        <v>289</v>
      </c>
      <c r="AD11" s="372">
        <v>2</v>
      </c>
      <c r="AE11" s="375">
        <v>0</v>
      </c>
      <c r="AF11" s="372">
        <v>0</v>
      </c>
      <c r="AG11" s="375">
        <v>0</v>
      </c>
      <c r="AH11" s="257"/>
    </row>
    <row r="12" spans="1:34" x14ac:dyDescent="0.25">
      <c r="A12" s="257"/>
      <c r="B12" s="365"/>
      <c r="C12" s="380"/>
      <c r="D12" s="133">
        <v>3</v>
      </c>
      <c r="E12" s="131" t="s">
        <v>290</v>
      </c>
      <c r="F12" s="132">
        <v>3</v>
      </c>
      <c r="G12" s="132">
        <v>0</v>
      </c>
      <c r="H12" s="132">
        <v>0</v>
      </c>
      <c r="I12" s="363"/>
      <c r="J12" s="363"/>
      <c r="K12" s="363"/>
      <c r="L12" s="370"/>
      <c r="M12" s="370"/>
      <c r="N12" s="370"/>
      <c r="O12" s="370"/>
      <c r="P12" s="379"/>
      <c r="Q12" s="370"/>
      <c r="R12" s="370"/>
      <c r="S12" s="370"/>
      <c r="T12" s="282"/>
      <c r="U12" s="371"/>
      <c r="V12" s="314"/>
      <c r="W12" s="374"/>
      <c r="X12" s="375"/>
      <c r="Y12" s="374"/>
      <c r="Z12" s="375"/>
      <c r="AA12" s="363"/>
      <c r="AB12" s="371"/>
      <c r="AC12" s="371"/>
      <c r="AD12" s="374"/>
      <c r="AE12" s="375"/>
      <c r="AF12" s="374"/>
      <c r="AG12" s="375"/>
      <c r="AH12" s="363"/>
    </row>
    <row r="13" spans="1:34" x14ac:dyDescent="0.25">
      <c r="A13" s="141"/>
      <c r="B13" s="142" t="s">
        <v>291</v>
      </c>
      <c r="C13" s="143"/>
      <c r="D13" s="144">
        <f>SUM(D4:D12)</f>
        <v>69</v>
      </c>
      <c r="E13" s="145"/>
      <c r="F13" s="144">
        <f>SUM(F4:F12)</f>
        <v>63</v>
      </c>
      <c r="G13" s="144">
        <f>SUM(G4:G12)</f>
        <v>3</v>
      </c>
      <c r="H13" s="144">
        <f>SUM(H4:H12)</f>
        <v>0</v>
      </c>
      <c r="I13" s="146"/>
      <c r="J13" s="144">
        <f>SUM(J4:J12)</f>
        <v>79</v>
      </c>
      <c r="K13" s="144"/>
      <c r="L13" s="144"/>
      <c r="M13" s="144"/>
      <c r="N13" s="144"/>
      <c r="O13" s="144"/>
      <c r="P13" s="144">
        <f>SUM(P4:P12)</f>
        <v>57</v>
      </c>
      <c r="Q13" s="144">
        <f>SUM(Q4:Q12)</f>
        <v>11</v>
      </c>
      <c r="R13" s="144">
        <f t="shared" ref="R13" si="2">SUM(R4:R12)</f>
        <v>0</v>
      </c>
      <c r="S13" s="144">
        <f>SUM(S4:S12)</f>
        <v>11</v>
      </c>
      <c r="T13" s="146"/>
      <c r="U13" s="144">
        <f>SUM(U4:U12)</f>
        <v>80</v>
      </c>
      <c r="V13" s="144"/>
      <c r="W13" s="144">
        <f>SUM(W4:W12)</f>
        <v>54</v>
      </c>
      <c r="X13" s="144">
        <f>SUM(X4:X12)</f>
        <v>4</v>
      </c>
      <c r="Y13" s="144">
        <f>SUM(Y4:Y12)</f>
        <v>0</v>
      </c>
      <c r="Z13" s="144">
        <f>SUM(Z4:Z12)</f>
        <v>14</v>
      </c>
      <c r="AA13" s="146"/>
      <c r="AB13" s="144">
        <f>SUM(AB4:AB11)</f>
        <v>29</v>
      </c>
      <c r="AC13" s="144"/>
      <c r="AD13" s="144">
        <f>SUM(AD4:AD12)</f>
        <v>18</v>
      </c>
      <c r="AE13" s="144">
        <f>SUM(AE4:AE12)</f>
        <v>6</v>
      </c>
      <c r="AF13" s="144">
        <f>SUM(AF4:AF12)</f>
        <v>0</v>
      </c>
      <c r="AG13" s="144">
        <f>SUM(AG4:AG12)</f>
        <v>4</v>
      </c>
      <c r="AH13" s="146"/>
    </row>
    <row r="14" spans="1:34" ht="60" x14ac:dyDescent="0.25">
      <c r="A14" s="256">
        <v>4</v>
      </c>
      <c r="B14" s="333" t="s">
        <v>292</v>
      </c>
      <c r="C14" s="2" t="s">
        <v>293</v>
      </c>
      <c r="D14" s="1">
        <v>1</v>
      </c>
      <c r="E14" s="130"/>
      <c r="F14" s="3">
        <v>1</v>
      </c>
      <c r="G14" s="3"/>
      <c r="H14" s="3"/>
      <c r="I14" s="1"/>
      <c r="J14" s="1">
        <v>19</v>
      </c>
      <c r="K14" s="1"/>
      <c r="L14" s="1"/>
      <c r="M14" s="1"/>
      <c r="N14" s="1"/>
      <c r="O14" s="1"/>
      <c r="P14" s="3">
        <v>18</v>
      </c>
      <c r="Q14" s="3"/>
      <c r="R14" s="3"/>
      <c r="S14" s="3"/>
      <c r="T14" s="1" t="s">
        <v>294</v>
      </c>
      <c r="U14" s="1">
        <v>3</v>
      </c>
      <c r="V14" s="1"/>
      <c r="W14" s="3">
        <v>3</v>
      </c>
      <c r="X14" s="3"/>
      <c r="Y14" s="3"/>
      <c r="Z14" s="3"/>
      <c r="AA14" s="133" t="s">
        <v>295</v>
      </c>
      <c r="AB14" s="1"/>
      <c r="AC14" s="1"/>
      <c r="AD14" s="3"/>
      <c r="AE14" s="3"/>
      <c r="AF14" s="3"/>
      <c r="AG14" s="3"/>
      <c r="AH14" s="1"/>
    </row>
    <row r="15" spans="1:34" x14ac:dyDescent="0.25">
      <c r="A15" s="363"/>
      <c r="B15" s="314"/>
      <c r="C15" s="2" t="s">
        <v>296</v>
      </c>
      <c r="D15" s="1"/>
      <c r="E15" s="130"/>
      <c r="F15" s="3"/>
      <c r="G15" s="3"/>
      <c r="H15" s="3"/>
      <c r="I15" s="1"/>
      <c r="J15" s="1">
        <v>0</v>
      </c>
      <c r="K15" s="1"/>
      <c r="L15" s="1"/>
      <c r="M15" s="1"/>
      <c r="N15" s="1"/>
      <c r="O15" s="1"/>
      <c r="P15" s="3">
        <v>0</v>
      </c>
      <c r="Q15" s="3"/>
      <c r="R15" s="3"/>
      <c r="S15" s="3"/>
      <c r="T15" s="1"/>
      <c r="U15" s="1"/>
      <c r="V15" s="1"/>
      <c r="W15" s="3"/>
      <c r="X15" s="3"/>
      <c r="Y15" s="3"/>
      <c r="Z15" s="3"/>
      <c r="AA15" s="1"/>
      <c r="AB15" s="1"/>
      <c r="AC15" s="1"/>
      <c r="AD15" s="3"/>
      <c r="AE15" s="3"/>
      <c r="AF15" s="3"/>
      <c r="AG15" s="3"/>
      <c r="AH15" s="1"/>
    </row>
    <row r="16" spans="1:34" ht="15" customHeight="1" x14ac:dyDescent="0.25">
      <c r="A16" s="256">
        <v>5</v>
      </c>
      <c r="B16" s="333" t="s">
        <v>297</v>
      </c>
      <c r="C16" s="2" t="s">
        <v>293</v>
      </c>
      <c r="D16" s="1"/>
      <c r="E16" s="130"/>
      <c r="F16" s="3"/>
      <c r="G16" s="3"/>
      <c r="H16" s="3"/>
      <c r="I16" s="1"/>
      <c r="J16" s="1"/>
      <c r="K16" s="1"/>
      <c r="L16" s="1"/>
      <c r="M16" s="1"/>
      <c r="N16" s="1"/>
      <c r="O16" s="1"/>
      <c r="P16" s="3"/>
      <c r="Q16" s="3"/>
      <c r="R16" s="3"/>
      <c r="S16" s="3"/>
      <c r="T16" s="1"/>
      <c r="U16" s="1">
        <v>14</v>
      </c>
      <c r="V16" s="1"/>
      <c r="W16" s="3">
        <v>14</v>
      </c>
      <c r="X16" s="4"/>
      <c r="Y16" s="4"/>
      <c r="Z16" s="4"/>
      <c r="AA16" s="364" t="s">
        <v>298</v>
      </c>
      <c r="AB16" s="1"/>
      <c r="AC16" s="1"/>
      <c r="AD16" s="3"/>
      <c r="AE16" s="3"/>
      <c r="AF16" s="3"/>
      <c r="AG16" s="3"/>
      <c r="AH16" s="1"/>
    </row>
    <row r="17" spans="1:34" x14ac:dyDescent="0.25">
      <c r="A17" s="363"/>
      <c r="B17" s="314"/>
      <c r="C17" s="2" t="s">
        <v>296</v>
      </c>
      <c r="D17" s="1"/>
      <c r="E17" s="130"/>
      <c r="F17" s="3"/>
      <c r="G17" s="3"/>
      <c r="H17" s="3"/>
      <c r="I17" s="1"/>
      <c r="J17" s="1"/>
      <c r="K17" s="1"/>
      <c r="L17" s="1"/>
      <c r="M17" s="1"/>
      <c r="N17" s="1"/>
      <c r="O17" s="1"/>
      <c r="P17" s="3"/>
      <c r="Q17" s="3"/>
      <c r="R17" s="3"/>
      <c r="S17" s="3"/>
      <c r="T17" s="1"/>
      <c r="U17" s="1">
        <v>35</v>
      </c>
      <c r="V17" s="1"/>
      <c r="W17" s="3">
        <v>35</v>
      </c>
      <c r="X17" s="5"/>
      <c r="Y17" s="5"/>
      <c r="Z17" s="5"/>
      <c r="AA17" s="371"/>
      <c r="AB17" s="1"/>
      <c r="AC17" s="1"/>
      <c r="AD17" s="3"/>
      <c r="AE17" s="3"/>
      <c r="AF17" s="3"/>
      <c r="AG17" s="3"/>
      <c r="AH17" s="1"/>
    </row>
    <row r="18" spans="1:34" ht="75" x14ac:dyDescent="0.25">
      <c r="A18" s="256">
        <v>6</v>
      </c>
      <c r="B18" s="364" t="s">
        <v>299</v>
      </c>
      <c r="C18" s="131" t="s">
        <v>300</v>
      </c>
      <c r="D18" s="133">
        <v>1</v>
      </c>
      <c r="E18" s="131"/>
      <c r="F18" s="132">
        <v>1</v>
      </c>
      <c r="G18" s="132">
        <v>1</v>
      </c>
      <c r="H18" s="132"/>
      <c r="I18" s="131" t="s">
        <v>301</v>
      </c>
      <c r="J18" s="133">
        <v>1</v>
      </c>
      <c r="K18" s="133"/>
      <c r="L18" s="133"/>
      <c r="M18" s="133"/>
      <c r="N18" s="133"/>
      <c r="O18" s="133"/>
      <c r="P18" s="132">
        <v>1</v>
      </c>
      <c r="Q18" s="132"/>
      <c r="R18" s="132"/>
      <c r="S18" s="132"/>
      <c r="T18" s="132"/>
      <c r="U18" s="1"/>
      <c r="V18" s="1"/>
      <c r="W18" s="3"/>
      <c r="X18" s="3"/>
      <c r="Y18" s="3"/>
      <c r="Z18" s="3"/>
      <c r="AA18" s="132" t="s">
        <v>302</v>
      </c>
      <c r="AB18" s="1"/>
      <c r="AC18" s="1"/>
      <c r="AD18" s="3"/>
      <c r="AE18" s="3"/>
      <c r="AF18" s="3"/>
      <c r="AG18" s="3"/>
      <c r="AH18" s="132"/>
    </row>
    <row r="19" spans="1:34" ht="150" x14ac:dyDescent="0.25">
      <c r="A19" s="257"/>
      <c r="B19" s="365"/>
      <c r="C19" s="131" t="s">
        <v>303</v>
      </c>
      <c r="D19" s="133"/>
      <c r="E19" s="131"/>
      <c r="F19" s="132"/>
      <c r="G19" s="132"/>
      <c r="H19" s="132"/>
      <c r="I19" s="132"/>
      <c r="J19" s="133">
        <v>7</v>
      </c>
      <c r="K19" s="133"/>
      <c r="L19" s="133"/>
      <c r="M19" s="133"/>
      <c r="N19" s="133"/>
      <c r="O19" s="133"/>
      <c r="P19" s="132">
        <v>6</v>
      </c>
      <c r="Q19" s="132"/>
      <c r="R19" s="132"/>
      <c r="S19" s="132"/>
      <c r="T19" s="147" t="s">
        <v>304</v>
      </c>
      <c r="U19" s="1"/>
      <c r="V19" s="1"/>
      <c r="W19" s="3"/>
      <c r="X19" s="3"/>
      <c r="Y19" s="3"/>
      <c r="Z19" s="3"/>
      <c r="AA19" s="132" t="s">
        <v>302</v>
      </c>
      <c r="AB19" s="1"/>
      <c r="AC19" s="1"/>
      <c r="AD19" s="3"/>
      <c r="AE19" s="3"/>
      <c r="AF19" s="3"/>
      <c r="AG19" s="3"/>
      <c r="AH19" s="132"/>
    </row>
    <row r="20" spans="1:34" ht="75" x14ac:dyDescent="0.25">
      <c r="A20" s="257"/>
      <c r="B20" s="365"/>
      <c r="C20" s="131" t="s">
        <v>305</v>
      </c>
      <c r="D20" s="133"/>
      <c r="E20" s="131"/>
      <c r="F20" s="132"/>
      <c r="G20" s="132"/>
      <c r="H20" s="132"/>
      <c r="I20" s="132"/>
      <c r="J20" s="133">
        <v>3</v>
      </c>
      <c r="K20" s="133"/>
      <c r="L20" s="133"/>
      <c r="M20" s="133"/>
      <c r="N20" s="133"/>
      <c r="O20" s="133"/>
      <c r="P20" s="132">
        <v>3</v>
      </c>
      <c r="Q20" s="132"/>
      <c r="R20" s="132"/>
      <c r="S20" s="132"/>
      <c r="T20" s="147" t="s">
        <v>306</v>
      </c>
      <c r="U20" s="1"/>
      <c r="V20" s="1"/>
      <c r="W20" s="3"/>
      <c r="X20" s="3"/>
      <c r="Y20" s="3"/>
      <c r="Z20" s="3"/>
      <c r="AA20" s="132" t="s">
        <v>302</v>
      </c>
      <c r="AB20" s="1"/>
      <c r="AC20" s="1"/>
      <c r="AD20" s="3"/>
      <c r="AE20" s="3"/>
      <c r="AF20" s="3"/>
      <c r="AG20" s="3"/>
      <c r="AH20" s="132"/>
    </row>
    <row r="21" spans="1:34" ht="45" x14ac:dyDescent="0.25">
      <c r="A21" s="257"/>
      <c r="B21" s="365"/>
      <c r="C21" s="131" t="s">
        <v>307</v>
      </c>
      <c r="D21" s="133"/>
      <c r="E21" s="131"/>
      <c r="F21" s="132"/>
      <c r="G21" s="132"/>
      <c r="H21" s="132"/>
      <c r="I21" s="132"/>
      <c r="J21" s="133">
        <v>3</v>
      </c>
      <c r="K21" s="133"/>
      <c r="L21" s="133"/>
      <c r="M21" s="133"/>
      <c r="N21" s="133"/>
      <c r="O21" s="133"/>
      <c r="P21" s="132">
        <v>3</v>
      </c>
      <c r="Q21" s="132"/>
      <c r="R21" s="132"/>
      <c r="S21" s="132"/>
      <c r="T21" s="147" t="s">
        <v>308</v>
      </c>
      <c r="U21" s="1"/>
      <c r="V21" s="1"/>
      <c r="W21" s="3"/>
      <c r="X21" s="3"/>
      <c r="Y21" s="3"/>
      <c r="Z21" s="3"/>
      <c r="AA21" s="132" t="s">
        <v>302</v>
      </c>
      <c r="AB21" s="1"/>
      <c r="AC21" s="1"/>
      <c r="AD21" s="3"/>
      <c r="AE21" s="3"/>
      <c r="AF21" s="3"/>
      <c r="AG21" s="3"/>
      <c r="AH21" s="132"/>
    </row>
    <row r="22" spans="1:34" ht="60" x14ac:dyDescent="0.25">
      <c r="A22" s="257"/>
      <c r="B22" s="365"/>
      <c r="C22" s="131" t="s">
        <v>309</v>
      </c>
      <c r="D22" s="133"/>
      <c r="E22" s="131"/>
      <c r="F22" s="132"/>
      <c r="G22" s="132"/>
      <c r="H22" s="132"/>
      <c r="I22" s="132"/>
      <c r="J22" s="133">
        <v>4</v>
      </c>
      <c r="K22" s="133"/>
      <c r="L22" s="133"/>
      <c r="M22" s="133"/>
      <c r="N22" s="133"/>
      <c r="O22" s="133"/>
      <c r="P22" s="132">
        <v>4</v>
      </c>
      <c r="Q22" s="132"/>
      <c r="R22" s="132"/>
      <c r="S22" s="132"/>
      <c r="T22" s="147" t="s">
        <v>310</v>
      </c>
      <c r="U22" s="1"/>
      <c r="V22" s="1"/>
      <c r="W22" s="3"/>
      <c r="X22" s="3"/>
      <c r="Y22" s="3"/>
      <c r="Z22" s="3"/>
      <c r="AA22" s="132" t="s">
        <v>302</v>
      </c>
      <c r="AB22" s="1"/>
      <c r="AC22" s="1"/>
      <c r="AD22" s="3"/>
      <c r="AE22" s="3"/>
      <c r="AF22" s="3"/>
      <c r="AG22" s="3"/>
      <c r="AH22" s="132"/>
    </row>
    <row r="23" spans="1:34" ht="105" x14ac:dyDescent="0.25">
      <c r="A23" s="257"/>
      <c r="B23" s="365"/>
      <c r="C23" s="131" t="s">
        <v>311</v>
      </c>
      <c r="D23" s="133"/>
      <c r="E23" s="131"/>
      <c r="F23" s="132"/>
      <c r="G23" s="132"/>
      <c r="H23" s="132"/>
      <c r="I23" s="132"/>
      <c r="J23" s="133">
        <v>2</v>
      </c>
      <c r="K23" s="133"/>
      <c r="L23" s="133"/>
      <c r="M23" s="133"/>
      <c r="N23" s="133"/>
      <c r="O23" s="133"/>
      <c r="P23" s="132">
        <v>1</v>
      </c>
      <c r="Q23" s="132"/>
      <c r="R23" s="132"/>
      <c r="S23" s="132"/>
      <c r="T23" s="147" t="s">
        <v>312</v>
      </c>
      <c r="U23" s="1"/>
      <c r="V23" s="1"/>
      <c r="W23" s="3"/>
      <c r="X23" s="3"/>
      <c r="Y23" s="3"/>
      <c r="Z23" s="3"/>
      <c r="AA23" s="132" t="s">
        <v>302</v>
      </c>
      <c r="AB23" s="1"/>
      <c r="AC23" s="1"/>
      <c r="AD23" s="3"/>
      <c r="AE23" s="3"/>
      <c r="AF23" s="3"/>
      <c r="AG23" s="3"/>
      <c r="AH23" s="132"/>
    </row>
    <row r="24" spans="1:34" x14ac:dyDescent="0.25">
      <c r="A24" s="257"/>
      <c r="B24" s="365"/>
      <c r="C24" s="131" t="s">
        <v>313</v>
      </c>
      <c r="D24" s="133"/>
      <c r="E24" s="131"/>
      <c r="F24" s="132"/>
      <c r="G24" s="132"/>
      <c r="H24" s="132"/>
      <c r="I24" s="132"/>
      <c r="J24" s="133">
        <v>0</v>
      </c>
      <c r="K24" s="133"/>
      <c r="L24" s="133"/>
      <c r="M24" s="133"/>
      <c r="N24" s="133"/>
      <c r="O24" s="133"/>
      <c r="P24" s="132">
        <v>0</v>
      </c>
      <c r="Q24" s="132"/>
      <c r="R24" s="132"/>
      <c r="S24" s="132"/>
      <c r="T24" s="132" t="s">
        <v>302</v>
      </c>
      <c r="U24" s="1"/>
      <c r="V24" s="1"/>
      <c r="W24" s="3"/>
      <c r="X24" s="3"/>
      <c r="Y24" s="3"/>
      <c r="Z24" s="3"/>
      <c r="AA24" s="132" t="s">
        <v>302</v>
      </c>
      <c r="AB24" s="1"/>
      <c r="AC24" s="1"/>
      <c r="AD24" s="3"/>
      <c r="AE24" s="3"/>
      <c r="AF24" s="3"/>
      <c r="AG24" s="3"/>
      <c r="AH24" s="132"/>
    </row>
    <row r="25" spans="1:34" ht="75" x14ac:dyDescent="0.25">
      <c r="A25" s="363"/>
      <c r="B25" s="371"/>
      <c r="C25" s="131" t="s">
        <v>314</v>
      </c>
      <c r="D25" s="133"/>
      <c r="E25" s="131"/>
      <c r="F25" s="132"/>
      <c r="G25" s="132"/>
      <c r="H25" s="132"/>
      <c r="I25" s="132"/>
      <c r="J25" s="133">
        <v>0</v>
      </c>
      <c r="K25" s="133"/>
      <c r="L25" s="133"/>
      <c r="M25" s="133"/>
      <c r="N25" s="133"/>
      <c r="O25" s="133"/>
      <c r="P25" s="132">
        <v>0</v>
      </c>
      <c r="Q25" s="132"/>
      <c r="R25" s="132"/>
      <c r="S25" s="132"/>
      <c r="T25" s="132" t="s">
        <v>302</v>
      </c>
      <c r="U25" s="1">
        <v>3</v>
      </c>
      <c r="V25" s="1"/>
      <c r="W25" s="3">
        <v>3</v>
      </c>
      <c r="X25" s="3"/>
      <c r="Y25" s="3"/>
      <c r="Z25" s="3"/>
      <c r="AA25" s="132" t="s">
        <v>315</v>
      </c>
      <c r="AB25" s="1"/>
      <c r="AC25" s="1"/>
      <c r="AD25" s="3"/>
      <c r="AE25" s="3"/>
      <c r="AF25" s="3"/>
      <c r="AG25" s="3"/>
      <c r="AH25" s="132"/>
    </row>
    <row r="26" spans="1:34" ht="240" x14ac:dyDescent="0.25">
      <c r="A26" s="256">
        <v>7</v>
      </c>
      <c r="B26" s="364" t="s">
        <v>316</v>
      </c>
      <c r="C26" s="129" t="s">
        <v>317</v>
      </c>
      <c r="D26" s="133"/>
      <c r="E26" s="131"/>
      <c r="F26" s="132"/>
      <c r="G26" s="132"/>
      <c r="H26" s="132"/>
      <c r="I26" s="129"/>
      <c r="J26" s="1">
        <v>0</v>
      </c>
      <c r="K26" s="1"/>
      <c r="L26" s="1"/>
      <c r="M26" s="1"/>
      <c r="N26" s="1"/>
      <c r="O26" s="1"/>
      <c r="P26" s="3">
        <v>0</v>
      </c>
      <c r="Q26" s="3"/>
      <c r="R26" s="3"/>
      <c r="S26" s="3"/>
      <c r="T26" s="132" t="s">
        <v>302</v>
      </c>
      <c r="U26" s="1">
        <v>49</v>
      </c>
      <c r="V26" s="1"/>
      <c r="W26" s="3">
        <v>49</v>
      </c>
      <c r="X26" s="3"/>
      <c r="Y26" s="3"/>
      <c r="Z26" s="3"/>
      <c r="AA26" s="133" t="s">
        <v>318</v>
      </c>
      <c r="AB26" s="1"/>
      <c r="AC26" s="1"/>
      <c r="AD26" s="3"/>
      <c r="AE26" s="3"/>
      <c r="AF26" s="3"/>
      <c r="AG26" s="3"/>
      <c r="AH26" s="132"/>
    </row>
    <row r="27" spans="1:34" x14ac:dyDescent="0.25">
      <c r="A27" s="363"/>
      <c r="B27" s="371"/>
      <c r="C27" s="129" t="s">
        <v>319</v>
      </c>
      <c r="D27" s="1"/>
      <c r="E27" s="130"/>
      <c r="F27" s="3"/>
      <c r="G27" s="3"/>
      <c r="H27" s="3"/>
      <c r="I27" s="129"/>
      <c r="J27" s="1">
        <v>0</v>
      </c>
      <c r="K27" s="1"/>
      <c r="L27" s="1"/>
      <c r="M27" s="1"/>
      <c r="N27" s="1"/>
      <c r="O27" s="1"/>
      <c r="P27" s="3">
        <v>0</v>
      </c>
      <c r="Q27" s="3"/>
      <c r="R27" s="3"/>
      <c r="S27" s="3"/>
      <c r="T27" s="132" t="s">
        <v>302</v>
      </c>
      <c r="U27" s="1"/>
      <c r="V27" s="1"/>
      <c r="W27" s="3"/>
      <c r="X27" s="3"/>
      <c r="Y27" s="3"/>
      <c r="Z27" s="3"/>
      <c r="AA27" s="132"/>
      <c r="AB27" s="1"/>
      <c r="AC27" s="1"/>
      <c r="AD27" s="3"/>
      <c r="AE27" s="3"/>
      <c r="AF27" s="3"/>
      <c r="AG27" s="3"/>
      <c r="AH27" s="132"/>
    </row>
    <row r="28" spans="1:34" x14ac:dyDescent="0.25">
      <c r="A28" s="1">
        <v>8</v>
      </c>
      <c r="B28" s="129" t="s">
        <v>7</v>
      </c>
      <c r="C28" s="2"/>
      <c r="D28" s="1"/>
      <c r="E28" s="130"/>
      <c r="F28" s="3"/>
      <c r="G28" s="3"/>
      <c r="H28" s="3"/>
      <c r="I28" s="129"/>
      <c r="J28" s="1"/>
      <c r="K28" s="1"/>
      <c r="L28" s="1"/>
      <c r="M28" s="1"/>
      <c r="N28" s="1"/>
      <c r="O28" s="1"/>
      <c r="P28" s="3"/>
      <c r="Q28" s="3"/>
      <c r="R28" s="3"/>
      <c r="S28" s="3"/>
      <c r="T28" s="133"/>
      <c r="U28" s="1"/>
      <c r="V28" s="1"/>
      <c r="W28" s="3"/>
      <c r="X28" s="3"/>
      <c r="Y28" s="3"/>
      <c r="Z28" s="3"/>
      <c r="AA28" s="133"/>
      <c r="AB28" s="1"/>
      <c r="AC28" s="1"/>
      <c r="AD28" s="3"/>
      <c r="AE28" s="3"/>
      <c r="AF28" s="3"/>
      <c r="AG28" s="3"/>
      <c r="AH28" s="129"/>
    </row>
  </sheetData>
  <mergeCells count="59">
    <mergeCell ref="A26:A27"/>
    <mergeCell ref="B26:B27"/>
    <mergeCell ref="A14:A15"/>
    <mergeCell ref="B14:B15"/>
    <mergeCell ref="A16:A17"/>
    <mergeCell ref="B16:B17"/>
    <mergeCell ref="AA16:AA17"/>
    <mergeCell ref="A18:A25"/>
    <mergeCell ref="B18:B25"/>
    <mergeCell ref="AB11:AB12"/>
    <mergeCell ref="AC11:AC12"/>
    <mergeCell ref="C11:C12"/>
    <mergeCell ref="J10:J12"/>
    <mergeCell ref="K10:K12"/>
    <mergeCell ref="L10:L12"/>
    <mergeCell ref="M10:M12"/>
    <mergeCell ref="N10:N12"/>
    <mergeCell ref="I5:I12"/>
    <mergeCell ref="AG11:AG12"/>
    <mergeCell ref="O10:O12"/>
    <mergeCell ref="P10:P12"/>
    <mergeCell ref="Q10:Q12"/>
    <mergeCell ref="R10:R12"/>
    <mergeCell ref="S10:S12"/>
    <mergeCell ref="AC9:AC10"/>
    <mergeCell ref="AD9:AD10"/>
    <mergeCell ref="AE9:AE10"/>
    <mergeCell ref="AF9:AF10"/>
    <mergeCell ref="AG9:AG10"/>
    <mergeCell ref="T5:T12"/>
    <mergeCell ref="AB9:AB10"/>
    <mergeCell ref="AA5:AA12"/>
    <mergeCell ref="AD11:AD12"/>
    <mergeCell ref="AE11:AE12"/>
    <mergeCell ref="AF11:AF12"/>
    <mergeCell ref="AH5:AH12"/>
    <mergeCell ref="A6:A12"/>
    <mergeCell ref="B6:B12"/>
    <mergeCell ref="C6:C10"/>
    <mergeCell ref="AB7:AB8"/>
    <mergeCell ref="AC7:AC8"/>
    <mergeCell ref="AD7:AD8"/>
    <mergeCell ref="AE7:AE8"/>
    <mergeCell ref="AF7:AF8"/>
    <mergeCell ref="AG7:AG8"/>
    <mergeCell ref="U8:U12"/>
    <mergeCell ref="V8:V12"/>
    <mergeCell ref="W8:W12"/>
    <mergeCell ref="X8:X12"/>
    <mergeCell ref="Y8:Y12"/>
    <mergeCell ref="Z8:Z12"/>
    <mergeCell ref="A1:AH1"/>
    <mergeCell ref="A2:A3"/>
    <mergeCell ref="B2:B3"/>
    <mergeCell ref="C2:C3"/>
    <mergeCell ref="D2:I2"/>
    <mergeCell ref="J2:T2"/>
    <mergeCell ref="U2:AA2"/>
    <mergeCell ref="AB2:A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A7D83-FFB7-4947-97A5-56282E53D1BC}">
  <dimension ref="A1:N43"/>
  <sheetViews>
    <sheetView workbookViewId="0">
      <selection activeCell="F11" sqref="F11"/>
    </sheetView>
  </sheetViews>
  <sheetFormatPr defaultRowHeight="15" x14ac:dyDescent="0.25"/>
  <cols>
    <col min="1" max="1" width="4" style="149" customWidth="1"/>
    <col min="2" max="2" width="24.7109375" customWidth="1"/>
    <col min="3" max="3" width="7.42578125" style="149" customWidth="1"/>
    <col min="5" max="5" width="7.140625" customWidth="1"/>
    <col min="6" max="6" width="8.7109375" customWidth="1"/>
    <col min="8" max="12" width="8" customWidth="1"/>
    <col min="13" max="13" width="38.28515625" customWidth="1"/>
    <col min="14" max="14" width="22.140625" customWidth="1"/>
    <col min="19" max="19" width="18.7109375" customWidth="1"/>
  </cols>
  <sheetData>
    <row r="1" spans="1:14" ht="21" x14ac:dyDescent="0.25">
      <c r="A1" s="387" t="s">
        <v>320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</row>
    <row r="2" spans="1:14" ht="18" customHeight="1" x14ac:dyDescent="0.25">
      <c r="A2" s="388" t="s">
        <v>321</v>
      </c>
      <c r="B2" s="389"/>
      <c r="C2" s="389"/>
      <c r="D2" s="389"/>
      <c r="E2" s="389"/>
      <c r="F2" s="389"/>
      <c r="G2" s="389"/>
      <c r="H2" s="389"/>
      <c r="I2" s="389"/>
      <c r="J2" s="389"/>
      <c r="K2" s="389"/>
      <c r="L2" s="389"/>
      <c r="M2" s="389"/>
      <c r="N2" s="390"/>
    </row>
    <row r="3" spans="1:14" ht="40.5" x14ac:dyDescent="0.25">
      <c r="A3" s="151" t="s">
        <v>322</v>
      </c>
      <c r="B3" s="152" t="s">
        <v>323</v>
      </c>
      <c r="C3" s="152" t="s">
        <v>324</v>
      </c>
      <c r="D3" s="151" t="s">
        <v>325</v>
      </c>
      <c r="E3" s="151" t="s">
        <v>326</v>
      </c>
      <c r="F3" s="153" t="s">
        <v>327</v>
      </c>
      <c r="G3" s="153" t="s">
        <v>328</v>
      </c>
      <c r="H3" s="153" t="s">
        <v>329</v>
      </c>
      <c r="I3" s="153" t="s">
        <v>330</v>
      </c>
      <c r="J3" s="153" t="s">
        <v>331</v>
      </c>
      <c r="K3" s="153" t="s">
        <v>332</v>
      </c>
      <c r="L3" s="153" t="s">
        <v>333</v>
      </c>
      <c r="M3" s="151" t="s">
        <v>334</v>
      </c>
      <c r="N3" s="151" t="s">
        <v>335</v>
      </c>
    </row>
    <row r="4" spans="1:14" s="7" customFormat="1" x14ac:dyDescent="0.25">
      <c r="A4" s="385" t="s">
        <v>336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</row>
    <row r="5" spans="1:14" s="7" customFormat="1" x14ac:dyDescent="0.25">
      <c r="A5" s="1">
        <v>1</v>
      </c>
      <c r="B5" s="154" t="s">
        <v>337</v>
      </c>
      <c r="C5" s="155" t="s">
        <v>338</v>
      </c>
      <c r="D5" s="156">
        <v>0.25</v>
      </c>
      <c r="E5" s="156">
        <v>0.58333333333333337</v>
      </c>
      <c r="F5" s="155">
        <v>78812</v>
      </c>
      <c r="G5" s="155">
        <v>78850</v>
      </c>
      <c r="H5" s="1">
        <f t="shared" ref="H5:H7" si="0">G5-F5</f>
        <v>38</v>
      </c>
      <c r="I5" s="155">
        <v>12401.5</v>
      </c>
      <c r="J5" s="155">
        <v>12407.8</v>
      </c>
      <c r="K5" s="1">
        <f t="shared" ref="K5:K7" si="1">J5-I5</f>
        <v>6.2999999999992724</v>
      </c>
      <c r="L5" s="1"/>
      <c r="M5" s="157" t="s">
        <v>339</v>
      </c>
      <c r="N5" s="158" t="s">
        <v>340</v>
      </c>
    </row>
    <row r="6" spans="1:14" s="7" customFormat="1" ht="24" x14ac:dyDescent="0.25">
      <c r="A6" s="1">
        <v>2</v>
      </c>
      <c r="B6" s="154" t="s">
        <v>341</v>
      </c>
      <c r="C6" s="155" t="s">
        <v>338</v>
      </c>
      <c r="D6" s="156">
        <v>0.25</v>
      </c>
      <c r="E6" s="156">
        <v>0.58333333333333337</v>
      </c>
      <c r="F6" s="155">
        <v>35734</v>
      </c>
      <c r="G6" s="155">
        <v>35734</v>
      </c>
      <c r="H6" s="1">
        <f t="shared" si="0"/>
        <v>0</v>
      </c>
      <c r="I6" s="155">
        <v>5713.8</v>
      </c>
      <c r="J6" s="155">
        <v>5713.8</v>
      </c>
      <c r="K6" s="1">
        <f t="shared" si="1"/>
        <v>0</v>
      </c>
      <c r="L6" s="1"/>
      <c r="M6" s="157" t="s">
        <v>342</v>
      </c>
      <c r="N6" s="158" t="s">
        <v>343</v>
      </c>
    </row>
    <row r="7" spans="1:14" s="7" customFormat="1" x14ac:dyDescent="0.25">
      <c r="A7" s="1">
        <v>3</v>
      </c>
      <c r="B7" s="154" t="s">
        <v>344</v>
      </c>
      <c r="C7" s="155" t="s">
        <v>338</v>
      </c>
      <c r="D7" s="156">
        <v>0.25</v>
      </c>
      <c r="E7" s="156">
        <v>0.58333333333333337</v>
      </c>
      <c r="F7" s="155">
        <v>33064</v>
      </c>
      <c r="G7" s="155">
        <v>33109</v>
      </c>
      <c r="H7" s="1">
        <f t="shared" si="0"/>
        <v>45</v>
      </c>
      <c r="I7" s="155">
        <v>4775.3</v>
      </c>
      <c r="J7" s="155">
        <v>4782</v>
      </c>
      <c r="K7" s="1">
        <f t="shared" si="1"/>
        <v>6.6999999999998181</v>
      </c>
      <c r="L7" s="1"/>
      <c r="M7" s="157" t="s">
        <v>345</v>
      </c>
      <c r="N7" s="158" t="s">
        <v>346</v>
      </c>
    </row>
    <row r="8" spans="1:14" ht="30" x14ac:dyDescent="0.25">
      <c r="A8" s="151" t="s">
        <v>322</v>
      </c>
      <c r="B8" s="152" t="s">
        <v>323</v>
      </c>
      <c r="C8" s="152" t="s">
        <v>324</v>
      </c>
      <c r="D8" s="151" t="s">
        <v>325</v>
      </c>
      <c r="E8" s="151" t="s">
        <v>326</v>
      </c>
      <c r="F8" s="153" t="s">
        <v>347</v>
      </c>
      <c r="G8" s="153" t="s">
        <v>348</v>
      </c>
      <c r="H8" s="153" t="s">
        <v>332</v>
      </c>
      <c r="I8" s="159"/>
      <c r="J8" s="159"/>
      <c r="K8" s="159"/>
      <c r="L8" s="153"/>
      <c r="M8" s="151" t="s">
        <v>334</v>
      </c>
      <c r="N8" s="151" t="s">
        <v>335</v>
      </c>
    </row>
    <row r="9" spans="1:14" s="7" customFormat="1" ht="24" x14ac:dyDescent="0.25">
      <c r="A9" s="155">
        <v>1</v>
      </c>
      <c r="B9" s="154" t="s">
        <v>349</v>
      </c>
      <c r="C9" s="155" t="s">
        <v>338</v>
      </c>
      <c r="D9" s="156">
        <v>0.25</v>
      </c>
      <c r="E9" s="156">
        <v>0.58333333333333337</v>
      </c>
      <c r="F9" s="155">
        <v>18226.7</v>
      </c>
      <c r="G9" s="155">
        <v>18231.400000000001</v>
      </c>
      <c r="H9" s="1">
        <f t="shared" ref="H9:H12" si="2">G9-F9</f>
        <v>4.7000000000007276</v>
      </c>
      <c r="I9" s="160"/>
      <c r="J9" s="160"/>
      <c r="K9" s="160"/>
      <c r="L9" s="1"/>
      <c r="M9" s="157" t="s">
        <v>350</v>
      </c>
      <c r="N9" s="158" t="s">
        <v>351</v>
      </c>
    </row>
    <row r="10" spans="1:14" s="7" customFormat="1" ht="24" x14ac:dyDescent="0.25">
      <c r="A10" s="155">
        <v>2</v>
      </c>
      <c r="B10" s="154" t="s">
        <v>352</v>
      </c>
      <c r="C10" s="155" t="s">
        <v>338</v>
      </c>
      <c r="D10" s="156">
        <v>0.25</v>
      </c>
      <c r="E10" s="156">
        <v>0.58333333333333337</v>
      </c>
      <c r="F10" s="155">
        <v>3779.9</v>
      </c>
      <c r="G10" s="155">
        <v>3784</v>
      </c>
      <c r="H10" s="1">
        <f t="shared" si="2"/>
        <v>4.0999999999999091</v>
      </c>
      <c r="I10" s="160"/>
      <c r="J10" s="160"/>
      <c r="K10" s="160"/>
      <c r="L10" s="1"/>
      <c r="M10" s="157" t="s">
        <v>353</v>
      </c>
      <c r="N10" s="158" t="s">
        <v>354</v>
      </c>
    </row>
    <row r="11" spans="1:14" s="7" customFormat="1" ht="24" x14ac:dyDescent="0.25">
      <c r="A11" s="155">
        <v>3</v>
      </c>
      <c r="B11" s="154" t="s">
        <v>355</v>
      </c>
      <c r="C11" s="155" t="s">
        <v>338</v>
      </c>
      <c r="D11" s="156">
        <v>0.25</v>
      </c>
      <c r="E11" s="156">
        <v>0.58333333333333337</v>
      </c>
      <c r="F11" s="155">
        <v>2756.9</v>
      </c>
      <c r="G11" s="155">
        <v>2758.4</v>
      </c>
      <c r="H11" s="1">
        <f t="shared" si="2"/>
        <v>1.5</v>
      </c>
      <c r="I11" s="160"/>
      <c r="J11" s="160"/>
      <c r="K11" s="160"/>
      <c r="L11" s="1"/>
      <c r="M11" s="157" t="s">
        <v>356</v>
      </c>
      <c r="N11" s="158" t="s">
        <v>357</v>
      </c>
    </row>
    <row r="12" spans="1:14" s="7" customFormat="1" ht="24" x14ac:dyDescent="0.25">
      <c r="A12" s="155">
        <v>4</v>
      </c>
      <c r="B12" s="154" t="s">
        <v>358</v>
      </c>
      <c r="C12" s="155" t="s">
        <v>338</v>
      </c>
      <c r="D12" s="156">
        <v>0.25</v>
      </c>
      <c r="E12" s="156">
        <v>0.58333333333333337</v>
      </c>
      <c r="F12" s="155">
        <v>2714.3</v>
      </c>
      <c r="G12" s="155">
        <v>2717.4</v>
      </c>
      <c r="H12" s="1">
        <f t="shared" si="2"/>
        <v>3.0999999999999091</v>
      </c>
      <c r="I12" s="160"/>
      <c r="J12" s="160"/>
      <c r="K12" s="160"/>
      <c r="L12" s="1"/>
      <c r="M12" s="157" t="s">
        <v>359</v>
      </c>
      <c r="N12" s="158" t="s">
        <v>360</v>
      </c>
    </row>
    <row r="13" spans="1:14" s="7" customFormat="1" x14ac:dyDescent="0.25">
      <c r="A13" s="385" t="s">
        <v>361</v>
      </c>
      <c r="B13" s="385"/>
      <c r="C13" s="385"/>
      <c r="D13" s="385"/>
      <c r="E13" s="385"/>
      <c r="F13" s="385"/>
      <c r="G13" s="385"/>
      <c r="H13" s="385"/>
      <c r="I13" s="385"/>
      <c r="J13" s="385"/>
      <c r="K13" s="385"/>
      <c r="L13" s="385"/>
      <c r="M13" s="385"/>
      <c r="N13" s="385"/>
    </row>
    <row r="14" spans="1:14" ht="24" x14ac:dyDescent="0.25">
      <c r="A14" s="155">
        <v>2</v>
      </c>
      <c r="B14" s="154" t="s">
        <v>344</v>
      </c>
      <c r="C14" s="155" t="s">
        <v>362</v>
      </c>
      <c r="D14" s="156">
        <v>0.58333333333333304</v>
      </c>
      <c r="E14" s="156">
        <v>0.91666666666666696</v>
      </c>
      <c r="F14" s="155">
        <v>33109</v>
      </c>
      <c r="G14" s="155">
        <v>33119</v>
      </c>
      <c r="H14" s="1">
        <f t="shared" ref="H14" si="3">G14-F14</f>
        <v>10</v>
      </c>
      <c r="I14" s="1">
        <v>4782</v>
      </c>
      <c r="J14" s="1">
        <v>4783.3</v>
      </c>
      <c r="K14" s="1">
        <f t="shared" ref="K14" si="4">J14-I14</f>
        <v>1.3000000000001819</v>
      </c>
      <c r="L14" s="1"/>
      <c r="M14" s="157" t="s">
        <v>363</v>
      </c>
      <c r="N14" s="158" t="s">
        <v>364</v>
      </c>
    </row>
    <row r="15" spans="1:14" ht="30" x14ac:dyDescent="0.25">
      <c r="A15" s="151" t="s">
        <v>322</v>
      </c>
      <c r="B15" s="152" t="s">
        <v>323</v>
      </c>
      <c r="C15" s="152" t="s">
        <v>324</v>
      </c>
      <c r="D15" s="151" t="s">
        <v>325</v>
      </c>
      <c r="E15" s="151" t="s">
        <v>326</v>
      </c>
      <c r="F15" s="153" t="s">
        <v>347</v>
      </c>
      <c r="G15" s="153" t="s">
        <v>348</v>
      </c>
      <c r="H15" s="153" t="s">
        <v>332</v>
      </c>
      <c r="I15" s="159"/>
      <c r="J15" s="159"/>
      <c r="K15" s="159"/>
      <c r="L15" s="153"/>
      <c r="M15" s="151" t="s">
        <v>334</v>
      </c>
      <c r="N15" s="151" t="s">
        <v>335</v>
      </c>
    </row>
    <row r="16" spans="1:14" s="7" customFormat="1" ht="24" x14ac:dyDescent="0.25">
      <c r="A16" s="155">
        <v>1</v>
      </c>
      <c r="B16" s="154" t="s">
        <v>349</v>
      </c>
      <c r="C16" s="155" t="s">
        <v>362</v>
      </c>
      <c r="D16" s="156">
        <v>0.58333333333333337</v>
      </c>
      <c r="E16" s="156">
        <v>0.91666666666666663</v>
      </c>
      <c r="F16" s="155">
        <v>18231.400000000001</v>
      </c>
      <c r="G16" s="155">
        <v>18235</v>
      </c>
      <c r="H16" s="1">
        <f>G16-F16</f>
        <v>3.5999999999985448</v>
      </c>
      <c r="I16" s="160"/>
      <c r="J16" s="160"/>
      <c r="K16" s="160"/>
      <c r="L16" s="1"/>
      <c r="M16" s="157" t="s">
        <v>365</v>
      </c>
      <c r="N16" s="158" t="s">
        <v>366</v>
      </c>
    </row>
    <row r="17" spans="1:14" s="7" customFormat="1" ht="24" x14ac:dyDescent="0.25">
      <c r="A17" s="155">
        <v>2</v>
      </c>
      <c r="B17" s="154" t="s">
        <v>352</v>
      </c>
      <c r="C17" s="155" t="s">
        <v>362</v>
      </c>
      <c r="D17" s="156">
        <v>0.58333333333333337</v>
      </c>
      <c r="E17" s="156">
        <v>0.91666666666666663</v>
      </c>
      <c r="F17" s="155">
        <v>3784</v>
      </c>
      <c r="G17" s="155">
        <v>3788.4</v>
      </c>
      <c r="H17" s="1">
        <f>G17-F17</f>
        <v>4.4000000000000909</v>
      </c>
      <c r="I17" s="160"/>
      <c r="J17" s="160"/>
      <c r="K17" s="160"/>
      <c r="L17" s="1">
        <v>60</v>
      </c>
      <c r="M17" s="157" t="s">
        <v>367</v>
      </c>
      <c r="N17" s="158" t="s">
        <v>368</v>
      </c>
    </row>
    <row r="18" spans="1:14" s="7" customFormat="1" ht="24" x14ac:dyDescent="0.25">
      <c r="A18" s="155">
        <v>3</v>
      </c>
      <c r="B18" s="154" t="s">
        <v>369</v>
      </c>
      <c r="C18" s="155" t="s">
        <v>362</v>
      </c>
      <c r="D18" s="156">
        <v>0.58333333333333337</v>
      </c>
      <c r="E18" s="156">
        <v>0.91666666666666663</v>
      </c>
      <c r="F18" s="155">
        <v>2429.6</v>
      </c>
      <c r="G18" s="155">
        <v>2432.1999999999998</v>
      </c>
      <c r="H18" s="1">
        <f>G18-F18</f>
        <v>2.5999999999999091</v>
      </c>
      <c r="I18" s="160"/>
      <c r="J18" s="160"/>
      <c r="K18" s="160"/>
      <c r="L18" s="1"/>
      <c r="M18" s="157" t="s">
        <v>370</v>
      </c>
      <c r="N18" s="158" t="s">
        <v>371</v>
      </c>
    </row>
    <row r="19" spans="1:14" ht="15.75" customHeight="1" x14ac:dyDescent="0.25">
      <c r="A19" s="391" t="s">
        <v>372</v>
      </c>
      <c r="B19" s="392"/>
      <c r="C19" s="392"/>
      <c r="D19" s="392"/>
      <c r="E19" s="392"/>
      <c r="F19" s="392"/>
      <c r="G19" s="392"/>
      <c r="H19" s="392"/>
      <c r="I19" s="392"/>
      <c r="J19" s="392"/>
      <c r="K19" s="392"/>
      <c r="L19" s="392"/>
      <c r="M19" s="392"/>
      <c r="N19" s="393"/>
    </row>
    <row r="20" spans="1:14" ht="30" x14ac:dyDescent="0.25">
      <c r="A20" s="151" t="s">
        <v>322</v>
      </c>
      <c r="B20" s="152" t="s">
        <v>323</v>
      </c>
      <c r="C20" s="152" t="s">
        <v>324</v>
      </c>
      <c r="D20" s="151" t="s">
        <v>325</v>
      </c>
      <c r="E20" s="151" t="s">
        <v>326</v>
      </c>
      <c r="F20" s="153" t="s">
        <v>347</v>
      </c>
      <c r="G20" s="153" t="s">
        <v>348</v>
      </c>
      <c r="H20" s="153" t="s">
        <v>332</v>
      </c>
      <c r="I20" s="159"/>
      <c r="J20" s="159"/>
      <c r="K20" s="159"/>
      <c r="L20" s="153"/>
      <c r="M20" s="151" t="s">
        <v>334</v>
      </c>
      <c r="N20" s="151" t="s">
        <v>335</v>
      </c>
    </row>
    <row r="21" spans="1:14" s="7" customFormat="1" ht="24" x14ac:dyDescent="0.25">
      <c r="A21" s="155">
        <v>1</v>
      </c>
      <c r="B21" s="154" t="s">
        <v>352</v>
      </c>
      <c r="C21" s="155" t="s">
        <v>373</v>
      </c>
      <c r="D21" s="156">
        <v>0.91666666666666663</v>
      </c>
      <c r="E21" s="156">
        <v>0.25</v>
      </c>
      <c r="F21" s="155">
        <v>3788.4</v>
      </c>
      <c r="G21" s="155">
        <v>3790.3</v>
      </c>
      <c r="H21" s="1">
        <f t="shared" ref="H21:H22" si="5">G21-F21</f>
        <v>1.9000000000000909</v>
      </c>
      <c r="I21" s="160"/>
      <c r="J21" s="160"/>
      <c r="K21" s="160"/>
      <c r="L21" s="1"/>
      <c r="M21" s="157" t="s">
        <v>374</v>
      </c>
      <c r="N21" s="158" t="s">
        <v>375</v>
      </c>
    </row>
    <row r="22" spans="1:14" s="7" customFormat="1" x14ac:dyDescent="0.25">
      <c r="A22" s="155">
        <v>2</v>
      </c>
      <c r="B22" s="154" t="s">
        <v>376</v>
      </c>
      <c r="C22" s="155" t="s">
        <v>373</v>
      </c>
      <c r="D22" s="156">
        <v>0.91666666666666663</v>
      </c>
      <c r="E22" s="156">
        <v>0.25</v>
      </c>
      <c r="F22" s="155">
        <v>2717.4</v>
      </c>
      <c r="G22" s="155">
        <v>2718.6</v>
      </c>
      <c r="H22" s="1">
        <f t="shared" si="5"/>
        <v>1.1999999999998181</v>
      </c>
      <c r="I22" s="160"/>
      <c r="J22" s="160"/>
      <c r="K22" s="160"/>
      <c r="L22" s="1"/>
      <c r="M22" s="157" t="s">
        <v>377</v>
      </c>
      <c r="N22" s="158" t="s">
        <v>378</v>
      </c>
    </row>
    <row r="23" spans="1:14" s="7" customFormat="1" ht="16.5" customHeight="1" x14ac:dyDescent="0.25">
      <c r="A23" s="385" t="s">
        <v>379</v>
      </c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</row>
    <row r="24" spans="1:14" x14ac:dyDescent="0.25">
      <c r="A24" s="155">
        <v>1</v>
      </c>
      <c r="B24" s="154" t="s">
        <v>380</v>
      </c>
      <c r="C24" s="1" t="s">
        <v>381</v>
      </c>
      <c r="D24" s="161">
        <v>0.375</v>
      </c>
      <c r="E24" s="161">
        <v>0.75</v>
      </c>
      <c r="F24" s="155">
        <v>0</v>
      </c>
      <c r="G24" s="155">
        <v>0</v>
      </c>
      <c r="H24" s="1">
        <f>G24-F24</f>
        <v>0</v>
      </c>
      <c r="I24" s="1">
        <v>0</v>
      </c>
      <c r="J24" s="1">
        <v>0</v>
      </c>
      <c r="K24" s="1">
        <f t="shared" ref="K24:K26" si="6">J24-I24</f>
        <v>0</v>
      </c>
      <c r="L24" s="1"/>
      <c r="M24" s="162" t="s">
        <v>382</v>
      </c>
      <c r="N24" s="2"/>
    </row>
    <row r="25" spans="1:14" ht="24" x14ac:dyDescent="0.25">
      <c r="A25" s="155">
        <v>2</v>
      </c>
      <c r="B25" s="154" t="s">
        <v>383</v>
      </c>
      <c r="C25" s="1" t="s">
        <v>381</v>
      </c>
      <c r="D25" s="161">
        <v>0.375</v>
      </c>
      <c r="E25" s="161">
        <v>0.75</v>
      </c>
      <c r="F25" s="155">
        <v>64782</v>
      </c>
      <c r="G25" s="155">
        <v>64800</v>
      </c>
      <c r="H25" s="1">
        <f>G25-F25</f>
        <v>18</v>
      </c>
      <c r="I25" s="1">
        <v>14967.4</v>
      </c>
      <c r="J25" s="1">
        <v>14972.1</v>
      </c>
      <c r="K25" s="1">
        <f t="shared" si="6"/>
        <v>4.7000000000007276</v>
      </c>
      <c r="L25" s="1"/>
      <c r="M25" s="157" t="s">
        <v>384</v>
      </c>
      <c r="N25" s="158" t="s">
        <v>385</v>
      </c>
    </row>
    <row r="26" spans="1:14" x14ac:dyDescent="0.25">
      <c r="A26" s="155">
        <v>3</v>
      </c>
      <c r="B26" s="154" t="s">
        <v>386</v>
      </c>
      <c r="C26" s="1" t="s">
        <v>381</v>
      </c>
      <c r="D26" s="161">
        <v>0.375</v>
      </c>
      <c r="E26" s="161">
        <v>0.75</v>
      </c>
      <c r="F26" s="155">
        <v>67188</v>
      </c>
      <c r="G26" s="155">
        <v>67190</v>
      </c>
      <c r="H26" s="1">
        <f>G26-F26</f>
        <v>2</v>
      </c>
      <c r="I26" s="1">
        <v>11046.1</v>
      </c>
      <c r="J26" s="1">
        <v>11047.6</v>
      </c>
      <c r="K26" s="1">
        <f t="shared" si="6"/>
        <v>1.5</v>
      </c>
      <c r="L26" s="1"/>
      <c r="M26" s="157" t="s">
        <v>387</v>
      </c>
      <c r="N26" s="158" t="s">
        <v>343</v>
      </c>
    </row>
    <row r="27" spans="1:14" s="7" customFormat="1" ht="24" x14ac:dyDescent="0.25">
      <c r="A27" s="155">
        <v>4</v>
      </c>
      <c r="B27" s="2" t="s">
        <v>388</v>
      </c>
      <c r="C27" s="1" t="s">
        <v>381</v>
      </c>
      <c r="D27" s="161">
        <v>0.375</v>
      </c>
      <c r="E27" s="161">
        <v>0.75</v>
      </c>
      <c r="F27" s="155">
        <v>26583</v>
      </c>
      <c r="G27" s="155">
        <v>26593</v>
      </c>
      <c r="H27" s="1">
        <f t="shared" ref="H27:H30" si="7">G27-F27</f>
        <v>10</v>
      </c>
      <c r="I27" s="160"/>
      <c r="J27" s="160"/>
      <c r="K27" s="160"/>
      <c r="L27" s="1"/>
      <c r="M27" s="163" t="s">
        <v>389</v>
      </c>
      <c r="N27" s="158" t="s">
        <v>390</v>
      </c>
    </row>
    <row r="28" spans="1:14" s="7" customFormat="1" ht="24" x14ac:dyDescent="0.25">
      <c r="A28" s="155">
        <v>5</v>
      </c>
      <c r="B28" s="2" t="s">
        <v>391</v>
      </c>
      <c r="C28" s="1" t="s">
        <v>381</v>
      </c>
      <c r="D28" s="161">
        <v>0.375</v>
      </c>
      <c r="E28" s="161">
        <v>0.75</v>
      </c>
      <c r="F28" s="155">
        <v>20656</v>
      </c>
      <c r="G28" s="155">
        <v>20681</v>
      </c>
      <c r="H28" s="1">
        <f t="shared" si="7"/>
        <v>25</v>
      </c>
      <c r="I28" s="160"/>
      <c r="J28" s="160"/>
      <c r="K28" s="160"/>
      <c r="L28" s="1"/>
      <c r="M28" s="157" t="s">
        <v>392</v>
      </c>
      <c r="N28" s="158" t="s">
        <v>393</v>
      </c>
    </row>
    <row r="29" spans="1:14" s="7" customFormat="1" x14ac:dyDescent="0.25">
      <c r="A29" s="155">
        <v>6</v>
      </c>
      <c r="B29" s="2" t="s">
        <v>394</v>
      </c>
      <c r="C29" s="164" t="s">
        <v>381</v>
      </c>
      <c r="D29" s="165">
        <v>0.375</v>
      </c>
      <c r="E29" s="165">
        <v>0.75</v>
      </c>
      <c r="F29" s="155">
        <v>0</v>
      </c>
      <c r="G29" s="155">
        <v>0</v>
      </c>
      <c r="H29" s="1">
        <f t="shared" si="7"/>
        <v>0</v>
      </c>
      <c r="I29" s="160"/>
      <c r="J29" s="160"/>
      <c r="K29" s="160"/>
      <c r="L29" s="1"/>
      <c r="M29" s="163" t="s">
        <v>395</v>
      </c>
      <c r="N29" s="158"/>
    </row>
    <row r="30" spans="1:14" s="7" customFormat="1" ht="72" x14ac:dyDescent="0.25">
      <c r="A30" s="155">
        <v>7</v>
      </c>
      <c r="B30" s="2" t="s">
        <v>396</v>
      </c>
      <c r="C30" s="164" t="s">
        <v>381</v>
      </c>
      <c r="D30" s="165">
        <v>0.375</v>
      </c>
      <c r="E30" s="165">
        <v>0.75</v>
      </c>
      <c r="F30" s="155">
        <v>1113</v>
      </c>
      <c r="G30" s="155">
        <v>1146</v>
      </c>
      <c r="H30" s="1">
        <f t="shared" si="7"/>
        <v>33</v>
      </c>
      <c r="I30" s="160"/>
      <c r="J30" s="160"/>
      <c r="K30" s="160"/>
      <c r="L30" s="1">
        <v>30</v>
      </c>
      <c r="M30" s="157" t="s">
        <v>397</v>
      </c>
      <c r="N30" s="158" t="s">
        <v>398</v>
      </c>
    </row>
    <row r="31" spans="1:14" ht="30" x14ac:dyDescent="0.25">
      <c r="A31" s="151" t="s">
        <v>322</v>
      </c>
      <c r="B31" s="152" t="s">
        <v>323</v>
      </c>
      <c r="C31" s="152" t="s">
        <v>324</v>
      </c>
      <c r="D31" s="151" t="s">
        <v>325</v>
      </c>
      <c r="E31" s="151" t="s">
        <v>326</v>
      </c>
      <c r="F31" s="153" t="s">
        <v>347</v>
      </c>
      <c r="G31" s="153" t="s">
        <v>348</v>
      </c>
      <c r="H31" s="153" t="s">
        <v>332</v>
      </c>
      <c r="I31" s="159"/>
      <c r="J31" s="159"/>
      <c r="K31" s="159"/>
      <c r="L31" s="153"/>
      <c r="M31" s="151" t="s">
        <v>334</v>
      </c>
      <c r="N31" s="151" t="s">
        <v>335</v>
      </c>
    </row>
    <row r="32" spans="1:14" ht="24" x14ac:dyDescent="0.25">
      <c r="A32" s="155">
        <v>1</v>
      </c>
      <c r="B32" s="154" t="s">
        <v>399</v>
      </c>
      <c r="C32" s="1" t="s">
        <v>381</v>
      </c>
      <c r="D32" s="161">
        <v>0.375</v>
      </c>
      <c r="E32" s="161">
        <v>0.75</v>
      </c>
      <c r="F32" s="155">
        <v>3774.1</v>
      </c>
      <c r="G32" s="155">
        <v>3777.3</v>
      </c>
      <c r="H32" s="1">
        <f t="shared" ref="H32:H33" si="8">G32-F32</f>
        <v>3.2000000000002728</v>
      </c>
      <c r="I32" s="160"/>
      <c r="J32" s="160"/>
      <c r="K32" s="160"/>
      <c r="L32" s="1"/>
      <c r="M32" s="157" t="s">
        <v>400</v>
      </c>
      <c r="N32" s="158" t="s">
        <v>401</v>
      </c>
    </row>
    <row r="33" spans="1:14" x14ac:dyDescent="0.25">
      <c r="A33" s="155">
        <v>3</v>
      </c>
      <c r="B33" s="154" t="s">
        <v>402</v>
      </c>
      <c r="C33" s="1" t="s">
        <v>381</v>
      </c>
      <c r="D33" s="161">
        <v>0.375</v>
      </c>
      <c r="E33" s="161">
        <v>0.75</v>
      </c>
      <c r="F33" s="155">
        <v>263.2</v>
      </c>
      <c r="G33" s="155">
        <v>266.60000000000002</v>
      </c>
      <c r="H33" s="1">
        <f t="shared" si="8"/>
        <v>3.4000000000000341</v>
      </c>
      <c r="I33" s="160"/>
      <c r="J33" s="160"/>
      <c r="K33" s="160"/>
      <c r="L33" s="1"/>
      <c r="M33" s="157" t="s">
        <v>403</v>
      </c>
      <c r="N33" s="158" t="s">
        <v>404</v>
      </c>
    </row>
    <row r="34" spans="1:14" s="7" customFormat="1" ht="18.75" x14ac:dyDescent="0.25">
      <c r="A34" s="382" t="s">
        <v>405</v>
      </c>
      <c r="B34" s="383"/>
      <c r="C34" s="383"/>
      <c r="D34" s="383"/>
      <c r="E34" s="383"/>
      <c r="F34" s="383"/>
      <c r="G34" s="383"/>
      <c r="H34" s="383"/>
      <c r="I34" s="383"/>
      <c r="J34" s="383"/>
      <c r="K34" s="383"/>
      <c r="L34" s="383"/>
      <c r="M34" s="383"/>
      <c r="N34" s="384"/>
    </row>
    <row r="35" spans="1:14" s="7" customFormat="1" x14ac:dyDescent="0.25">
      <c r="A35" s="155">
        <v>1</v>
      </c>
      <c r="B35" s="2" t="s">
        <v>406</v>
      </c>
      <c r="C35" s="1" t="s">
        <v>381</v>
      </c>
      <c r="D35" s="161">
        <v>0.375</v>
      </c>
      <c r="E35" s="161">
        <v>0.75</v>
      </c>
      <c r="F35" s="155">
        <v>4034.3</v>
      </c>
      <c r="G35" s="155">
        <v>4036.5</v>
      </c>
      <c r="H35" s="1">
        <f t="shared" ref="H35" si="9">G35-F35</f>
        <v>2.1999999999998181</v>
      </c>
      <c r="I35" s="160"/>
      <c r="J35" s="160"/>
      <c r="K35" s="160"/>
      <c r="L35" s="160"/>
      <c r="M35" s="157" t="s">
        <v>407</v>
      </c>
      <c r="N35" s="166" t="s">
        <v>408</v>
      </c>
    </row>
    <row r="36" spans="1:14" s="7" customFormat="1" ht="18.75" x14ac:dyDescent="0.25">
      <c r="A36" s="382" t="s">
        <v>409</v>
      </c>
      <c r="B36" s="383"/>
      <c r="C36" s="383"/>
      <c r="D36" s="383"/>
      <c r="E36" s="383"/>
      <c r="F36" s="383"/>
      <c r="G36" s="383"/>
      <c r="H36" s="383"/>
      <c r="I36" s="383"/>
      <c r="J36" s="383"/>
      <c r="K36" s="383"/>
      <c r="L36" s="383"/>
      <c r="M36" s="383"/>
      <c r="N36" s="384"/>
    </row>
    <row r="37" spans="1:14" s="7" customFormat="1" ht="30" x14ac:dyDescent="0.25">
      <c r="A37" s="151" t="s">
        <v>322</v>
      </c>
      <c r="B37" s="152" t="s">
        <v>323</v>
      </c>
      <c r="C37" s="152" t="s">
        <v>324</v>
      </c>
      <c r="D37" s="151" t="s">
        <v>325</v>
      </c>
      <c r="E37" s="151" t="s">
        <v>326</v>
      </c>
      <c r="F37" s="153" t="s">
        <v>347</v>
      </c>
      <c r="G37" s="153" t="s">
        <v>348</v>
      </c>
      <c r="H37" s="153" t="s">
        <v>332</v>
      </c>
      <c r="I37" s="159"/>
      <c r="J37" s="159"/>
      <c r="K37" s="159"/>
      <c r="L37" s="159"/>
      <c r="M37" s="151" t="s">
        <v>334</v>
      </c>
      <c r="N37" s="151" t="s">
        <v>335</v>
      </c>
    </row>
    <row r="38" spans="1:14" s="7" customFormat="1" x14ac:dyDescent="0.25">
      <c r="A38" s="155">
        <v>1</v>
      </c>
      <c r="B38" s="2" t="s">
        <v>410</v>
      </c>
      <c r="C38" s="1" t="s">
        <v>381</v>
      </c>
      <c r="D38" s="161">
        <v>0.375</v>
      </c>
      <c r="E38" s="161">
        <v>0.75</v>
      </c>
      <c r="F38" s="155">
        <v>72.900000000000006</v>
      </c>
      <c r="G38" s="155">
        <v>77.099999999999994</v>
      </c>
      <c r="H38" s="1">
        <f t="shared" ref="H38:H41" si="10">G38-F38</f>
        <v>4.1999999999999886</v>
      </c>
      <c r="I38" s="160"/>
      <c r="J38" s="160"/>
      <c r="K38" s="160"/>
      <c r="L38" s="160"/>
      <c r="M38" s="157" t="s">
        <v>411</v>
      </c>
      <c r="N38" s="166" t="s">
        <v>412</v>
      </c>
    </row>
    <row r="39" spans="1:14" s="7" customFormat="1" x14ac:dyDescent="0.25">
      <c r="A39" s="155">
        <v>2</v>
      </c>
      <c r="B39" s="2" t="s">
        <v>413</v>
      </c>
      <c r="C39" s="1" t="s">
        <v>381</v>
      </c>
      <c r="D39" s="161">
        <v>0.375</v>
      </c>
      <c r="E39" s="161">
        <v>0.75</v>
      </c>
      <c r="F39" s="155">
        <v>2381.6</v>
      </c>
      <c r="G39" s="155">
        <v>2384.5</v>
      </c>
      <c r="H39" s="1">
        <f t="shared" si="10"/>
        <v>2.9000000000000909</v>
      </c>
      <c r="I39" s="160"/>
      <c r="J39" s="160"/>
      <c r="K39" s="160"/>
      <c r="L39" s="160"/>
      <c r="M39" s="157" t="s">
        <v>414</v>
      </c>
      <c r="N39" s="166" t="s">
        <v>415</v>
      </c>
    </row>
    <row r="40" spans="1:14" s="7" customFormat="1" x14ac:dyDescent="0.25">
      <c r="A40" s="155">
        <v>3</v>
      </c>
      <c r="B40" s="2" t="s">
        <v>416</v>
      </c>
      <c r="C40" s="1" t="s">
        <v>381</v>
      </c>
      <c r="D40" s="161">
        <v>0.375</v>
      </c>
      <c r="E40" s="161">
        <v>0.75</v>
      </c>
      <c r="F40" s="155">
        <v>51.8</v>
      </c>
      <c r="G40" s="155">
        <v>55</v>
      </c>
      <c r="H40" s="1">
        <f t="shared" si="10"/>
        <v>3.2000000000000028</v>
      </c>
      <c r="I40" s="160"/>
      <c r="J40" s="160"/>
      <c r="K40" s="160"/>
      <c r="L40" s="160"/>
      <c r="M40" s="157" t="s">
        <v>417</v>
      </c>
      <c r="N40" s="166" t="s">
        <v>418</v>
      </c>
    </row>
    <row r="41" spans="1:14" s="7" customFormat="1" ht="24" x14ac:dyDescent="0.25">
      <c r="A41" s="155">
        <v>4</v>
      </c>
      <c r="B41" s="2" t="s">
        <v>419</v>
      </c>
      <c r="C41" s="1" t="s">
        <v>381</v>
      </c>
      <c r="D41" s="161">
        <v>0.375</v>
      </c>
      <c r="E41" s="161">
        <v>0.75</v>
      </c>
      <c r="F41" s="155">
        <v>3840</v>
      </c>
      <c r="G41" s="155">
        <v>3845</v>
      </c>
      <c r="H41" s="1">
        <f t="shared" si="10"/>
        <v>5</v>
      </c>
      <c r="I41" s="160"/>
      <c r="J41" s="160"/>
      <c r="K41" s="160"/>
      <c r="L41" s="160"/>
      <c r="M41" s="157" t="s">
        <v>420</v>
      </c>
      <c r="N41" s="166" t="s">
        <v>421</v>
      </c>
    </row>
    <row r="42" spans="1:14" s="7" customFormat="1" ht="16.5" customHeight="1" x14ac:dyDescent="0.25">
      <c r="A42" s="385" t="s">
        <v>379</v>
      </c>
      <c r="B42" s="385"/>
      <c r="C42" s="385"/>
      <c r="D42" s="385"/>
      <c r="E42" s="385"/>
      <c r="F42" s="385"/>
      <c r="G42" s="385"/>
      <c r="H42" s="385"/>
      <c r="I42" s="386"/>
      <c r="J42" s="386"/>
      <c r="K42" s="386"/>
      <c r="L42" s="386"/>
      <c r="M42" s="385"/>
      <c r="N42" s="385"/>
    </row>
    <row r="43" spans="1:14" ht="48" x14ac:dyDescent="0.25">
      <c r="A43" s="155">
        <v>1</v>
      </c>
      <c r="B43" s="154" t="s">
        <v>422</v>
      </c>
      <c r="C43" s="1" t="s">
        <v>381</v>
      </c>
      <c r="D43" s="161">
        <v>0.375</v>
      </c>
      <c r="E43" s="161">
        <v>0.75</v>
      </c>
      <c r="F43" s="155">
        <v>27057</v>
      </c>
      <c r="G43" s="155">
        <v>27104</v>
      </c>
      <c r="H43" s="1">
        <f>G43-F43</f>
        <v>47</v>
      </c>
      <c r="I43" s="167" t="s">
        <v>302</v>
      </c>
      <c r="J43" s="167" t="s">
        <v>302</v>
      </c>
      <c r="K43" s="167" t="s">
        <v>302</v>
      </c>
      <c r="L43" s="167" t="s">
        <v>302</v>
      </c>
      <c r="M43" s="157" t="s">
        <v>423</v>
      </c>
      <c r="N43" s="158" t="s">
        <v>424</v>
      </c>
    </row>
  </sheetData>
  <mergeCells count="9">
    <mergeCell ref="A34:N34"/>
    <mergeCell ref="A36:N36"/>
    <mergeCell ref="A42:N42"/>
    <mergeCell ref="A1:N1"/>
    <mergeCell ref="A2:N2"/>
    <mergeCell ref="A4:N4"/>
    <mergeCell ref="A13:N13"/>
    <mergeCell ref="A19:N19"/>
    <mergeCell ref="A23:N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35D7-46B0-4389-ACD3-AD4415B650E1}">
  <dimension ref="A1:AC19"/>
  <sheetViews>
    <sheetView workbookViewId="0">
      <selection activeCell="H12" sqref="H12"/>
    </sheetView>
  </sheetViews>
  <sheetFormatPr defaultRowHeight="15" x14ac:dyDescent="0.25"/>
  <cols>
    <col min="4" max="4" width="22.7109375" customWidth="1"/>
    <col min="5" max="5" width="13.140625" bestFit="1" customWidth="1"/>
    <col min="6" max="6" width="18.140625" customWidth="1"/>
    <col min="8" max="8" width="24.140625" customWidth="1"/>
    <col min="10" max="10" width="25.5703125" customWidth="1"/>
    <col min="11" max="11" width="11.5703125" bestFit="1" customWidth="1"/>
    <col min="12" max="12" width="19" customWidth="1"/>
    <col min="16" max="16" width="22.42578125" customWidth="1"/>
    <col min="17" max="17" width="10.7109375" customWidth="1"/>
    <col min="18" max="18" width="25.28515625" customWidth="1"/>
    <col min="19" max="19" width="12.28515625" bestFit="1" customWidth="1"/>
    <col min="20" max="20" width="26.42578125" customWidth="1"/>
    <col min="22" max="22" width="18.85546875" customWidth="1"/>
    <col min="23" max="23" width="17" customWidth="1"/>
    <col min="24" max="24" width="13.28515625" customWidth="1"/>
    <col min="25" max="25" width="9.140625" style="7"/>
  </cols>
  <sheetData>
    <row r="1" spans="1:29" ht="21" x14ac:dyDescent="0.35">
      <c r="A1" s="395" t="s">
        <v>425</v>
      </c>
      <c r="B1" s="395"/>
      <c r="C1" s="395"/>
      <c r="D1" s="395"/>
      <c r="E1" s="395"/>
      <c r="F1" s="395"/>
      <c r="G1" s="394" t="s">
        <v>426</v>
      </c>
      <c r="H1" s="394"/>
      <c r="I1" s="394"/>
      <c r="J1" s="394"/>
      <c r="K1" s="394" t="s">
        <v>427</v>
      </c>
      <c r="L1" s="394"/>
      <c r="M1" s="395" t="s">
        <v>425</v>
      </c>
      <c r="N1" s="395"/>
      <c r="O1" s="395"/>
      <c r="P1" s="395"/>
      <c r="Q1" s="395"/>
      <c r="R1" s="395"/>
      <c r="S1" s="394" t="s">
        <v>426</v>
      </c>
      <c r="T1" s="394"/>
      <c r="U1" s="394"/>
      <c r="V1" s="394"/>
      <c r="W1" s="394" t="s">
        <v>428</v>
      </c>
      <c r="X1" s="394"/>
      <c r="Y1" s="394"/>
      <c r="Z1" s="168"/>
      <c r="AA1" s="168"/>
      <c r="AB1" s="168"/>
      <c r="AC1" s="168"/>
    </row>
    <row r="2" spans="1:29" ht="27" customHeight="1" x14ac:dyDescent="0.25">
      <c r="A2" s="396" t="s">
        <v>429</v>
      </c>
      <c r="B2" s="396" t="s">
        <v>430</v>
      </c>
      <c r="C2" s="396" t="s">
        <v>431</v>
      </c>
      <c r="D2" s="397"/>
      <c r="E2" s="396" t="s">
        <v>432</v>
      </c>
      <c r="F2" s="397"/>
      <c r="G2" s="396" t="s">
        <v>433</v>
      </c>
      <c r="H2" s="397"/>
      <c r="I2" s="397" t="s">
        <v>434</v>
      </c>
      <c r="J2" s="397"/>
      <c r="K2" s="396" t="s">
        <v>435</v>
      </c>
      <c r="L2" s="397"/>
      <c r="M2" s="396" t="s">
        <v>429</v>
      </c>
      <c r="N2" s="396" t="s">
        <v>430</v>
      </c>
      <c r="O2" s="397" t="s">
        <v>436</v>
      </c>
      <c r="P2" s="397"/>
      <c r="Q2" s="397" t="s">
        <v>437</v>
      </c>
      <c r="R2" s="397"/>
      <c r="S2" s="396" t="s">
        <v>438</v>
      </c>
      <c r="T2" s="397"/>
      <c r="U2" s="396" t="s">
        <v>439</v>
      </c>
      <c r="V2" s="396"/>
      <c r="W2" s="396" t="s">
        <v>440</v>
      </c>
      <c r="X2" s="396" t="s">
        <v>441</v>
      </c>
      <c r="Y2" s="396" t="s">
        <v>442</v>
      </c>
      <c r="Z2" s="168"/>
      <c r="AA2" s="168"/>
      <c r="AB2" s="168"/>
      <c r="AC2" s="168"/>
    </row>
    <row r="3" spans="1:29" x14ac:dyDescent="0.25">
      <c r="A3" s="397"/>
      <c r="B3" s="397"/>
      <c r="C3" s="169" t="s">
        <v>443</v>
      </c>
      <c r="D3" s="169" t="s">
        <v>444</v>
      </c>
      <c r="E3" s="169" t="s">
        <v>443</v>
      </c>
      <c r="F3" s="169" t="s">
        <v>444</v>
      </c>
      <c r="G3" s="169" t="s">
        <v>443</v>
      </c>
      <c r="H3" s="169" t="s">
        <v>444</v>
      </c>
      <c r="I3" s="169" t="s">
        <v>443</v>
      </c>
      <c r="J3" s="169" t="s">
        <v>444</v>
      </c>
      <c r="K3" s="169" t="s">
        <v>443</v>
      </c>
      <c r="L3" s="169" t="s">
        <v>444</v>
      </c>
      <c r="M3" s="397"/>
      <c r="N3" s="397"/>
      <c r="O3" s="169" t="s">
        <v>443</v>
      </c>
      <c r="P3" s="169" t="s">
        <v>444</v>
      </c>
      <c r="Q3" s="169" t="s">
        <v>443</v>
      </c>
      <c r="R3" s="169" t="s">
        <v>444</v>
      </c>
      <c r="S3" s="169" t="s">
        <v>443</v>
      </c>
      <c r="T3" s="169" t="s">
        <v>444</v>
      </c>
      <c r="U3" s="169" t="s">
        <v>443</v>
      </c>
      <c r="V3" s="169" t="s">
        <v>444</v>
      </c>
      <c r="W3" s="396"/>
      <c r="X3" s="396"/>
      <c r="Y3" s="397"/>
      <c r="Z3" s="168"/>
      <c r="AA3" s="168"/>
      <c r="AB3" s="168"/>
      <c r="AC3" s="168"/>
    </row>
    <row r="4" spans="1:29" ht="47.25" x14ac:dyDescent="0.25">
      <c r="A4" s="167">
        <v>1</v>
      </c>
      <c r="B4" s="170" t="s">
        <v>445</v>
      </c>
      <c r="C4" s="68">
        <v>260035</v>
      </c>
      <c r="D4" s="171" t="s">
        <v>446</v>
      </c>
      <c r="E4" s="172"/>
      <c r="F4" s="172"/>
      <c r="G4" s="167">
        <v>260047</v>
      </c>
      <c r="H4" s="173" t="s">
        <v>447</v>
      </c>
      <c r="I4" s="167">
        <v>260056</v>
      </c>
      <c r="J4" s="173" t="s">
        <v>448</v>
      </c>
      <c r="K4" s="167">
        <v>260065</v>
      </c>
      <c r="L4" s="173" t="s">
        <v>449</v>
      </c>
      <c r="M4" s="167">
        <v>1</v>
      </c>
      <c r="N4" s="170" t="s">
        <v>445</v>
      </c>
      <c r="O4" s="167">
        <v>260078</v>
      </c>
      <c r="P4" s="173" t="s">
        <v>450</v>
      </c>
      <c r="Q4" s="167">
        <v>260093</v>
      </c>
      <c r="R4" s="173" t="s">
        <v>451</v>
      </c>
      <c r="S4" s="174"/>
      <c r="T4" s="173"/>
      <c r="U4" s="172"/>
      <c r="V4" s="172"/>
      <c r="W4" s="172"/>
      <c r="X4" s="174" t="s">
        <v>452</v>
      </c>
      <c r="Y4" s="167">
        <f>Q4-C4</f>
        <v>58</v>
      </c>
      <c r="Z4" s="168"/>
      <c r="AA4" s="168"/>
      <c r="AB4" s="168"/>
      <c r="AC4" s="168"/>
    </row>
    <row r="5" spans="1:29" ht="47.25" x14ac:dyDescent="0.25">
      <c r="A5" s="167">
        <v>2</v>
      </c>
      <c r="B5" s="170" t="s">
        <v>453</v>
      </c>
      <c r="C5" s="167">
        <v>235584</v>
      </c>
      <c r="D5" s="171" t="s">
        <v>454</v>
      </c>
      <c r="E5" s="172"/>
      <c r="F5" s="172"/>
      <c r="G5" s="167">
        <v>235591</v>
      </c>
      <c r="H5" s="173" t="s">
        <v>455</v>
      </c>
      <c r="I5" s="167"/>
      <c r="J5" s="175" t="s">
        <v>456</v>
      </c>
      <c r="K5" s="167"/>
      <c r="L5" s="173"/>
      <c r="M5" s="167">
        <v>2</v>
      </c>
      <c r="N5" s="170" t="s">
        <v>453</v>
      </c>
      <c r="O5" s="172"/>
      <c r="P5" s="172"/>
      <c r="Q5" s="167">
        <v>235608</v>
      </c>
      <c r="R5" s="173" t="s">
        <v>457</v>
      </c>
      <c r="S5" s="174">
        <v>235615</v>
      </c>
      <c r="T5" s="176" t="s">
        <v>458</v>
      </c>
      <c r="U5" s="172"/>
      <c r="V5" s="172"/>
      <c r="W5" s="172"/>
      <c r="X5" s="174" t="s">
        <v>459</v>
      </c>
      <c r="Y5" s="167">
        <f>S5-C5</f>
        <v>31</v>
      </c>
      <c r="Z5" s="168"/>
      <c r="AA5" s="168"/>
      <c r="AB5" s="168"/>
      <c r="AC5" s="168"/>
    </row>
    <row r="6" spans="1:29" ht="47.25" x14ac:dyDescent="0.25">
      <c r="A6" s="167">
        <v>3</v>
      </c>
      <c r="B6" s="170" t="s">
        <v>460</v>
      </c>
      <c r="C6" s="167">
        <v>282332</v>
      </c>
      <c r="D6" s="171" t="s">
        <v>461</v>
      </c>
      <c r="E6" s="172"/>
      <c r="F6" s="172"/>
      <c r="G6" s="167">
        <v>282337</v>
      </c>
      <c r="H6" s="173" t="s">
        <v>462</v>
      </c>
      <c r="I6" s="167"/>
      <c r="J6" s="172"/>
      <c r="K6" s="167">
        <v>282342</v>
      </c>
      <c r="L6" s="173" t="s">
        <v>461</v>
      </c>
      <c r="M6" s="167">
        <v>3</v>
      </c>
      <c r="N6" s="170" t="s">
        <v>460</v>
      </c>
      <c r="O6" s="172"/>
      <c r="P6" s="172"/>
      <c r="Q6" s="167">
        <v>282351</v>
      </c>
      <c r="R6" s="173" t="s">
        <v>463</v>
      </c>
      <c r="S6" s="174"/>
      <c r="T6" s="176"/>
      <c r="U6" s="172"/>
      <c r="V6" s="172"/>
      <c r="W6" s="172"/>
      <c r="X6" s="174" t="s">
        <v>464</v>
      </c>
      <c r="Y6" s="167">
        <f>Q6-C6</f>
        <v>19</v>
      </c>
      <c r="Z6" s="168"/>
      <c r="AA6" s="168"/>
      <c r="AB6" s="168"/>
      <c r="AC6" s="168"/>
    </row>
    <row r="7" spans="1:29" ht="60" x14ac:dyDescent="0.25">
      <c r="A7" s="167">
        <v>4</v>
      </c>
      <c r="B7" s="170" t="s">
        <v>465</v>
      </c>
      <c r="C7" s="167">
        <v>67051</v>
      </c>
      <c r="D7" s="171" t="s">
        <v>466</v>
      </c>
      <c r="E7" s="172"/>
      <c r="F7" s="172"/>
      <c r="G7" s="167">
        <v>67057</v>
      </c>
      <c r="H7" s="173" t="s">
        <v>467</v>
      </c>
      <c r="I7" s="167"/>
      <c r="J7" s="172"/>
      <c r="K7" s="167">
        <v>67063</v>
      </c>
      <c r="L7" s="173" t="s">
        <v>466</v>
      </c>
      <c r="M7" s="167">
        <v>4</v>
      </c>
      <c r="N7" s="170" t="s">
        <v>465</v>
      </c>
      <c r="O7" s="172"/>
      <c r="P7" s="172"/>
      <c r="Q7" s="167">
        <v>67074</v>
      </c>
      <c r="R7" s="173" t="s">
        <v>468</v>
      </c>
      <c r="S7" s="174"/>
      <c r="T7" s="176"/>
      <c r="U7" s="172"/>
      <c r="V7" s="172"/>
      <c r="W7" s="172"/>
      <c r="X7" s="174" t="s">
        <v>469</v>
      </c>
      <c r="Y7" s="167">
        <f>Q7-C7</f>
        <v>23</v>
      </c>
      <c r="Z7" s="168"/>
      <c r="AA7" s="168"/>
      <c r="AB7" s="168"/>
      <c r="AC7" s="168"/>
    </row>
    <row r="8" spans="1:29" ht="45" x14ac:dyDescent="0.25">
      <c r="A8" s="167">
        <v>5</v>
      </c>
      <c r="B8" s="170" t="s">
        <v>470</v>
      </c>
      <c r="C8" s="167"/>
      <c r="D8" s="171"/>
      <c r="E8" s="172"/>
      <c r="F8" s="172"/>
      <c r="G8" s="167"/>
      <c r="H8" s="173"/>
      <c r="I8" s="167">
        <v>453025</v>
      </c>
      <c r="J8" s="173" t="s">
        <v>471</v>
      </c>
      <c r="K8" s="167">
        <v>453031</v>
      </c>
      <c r="L8" s="173" t="s">
        <v>472</v>
      </c>
      <c r="M8" s="167">
        <v>5</v>
      </c>
      <c r="N8" s="170" t="s">
        <v>470</v>
      </c>
      <c r="O8" s="167"/>
      <c r="P8" s="176"/>
      <c r="Q8" s="167">
        <v>453056</v>
      </c>
      <c r="R8" s="173" t="s">
        <v>473</v>
      </c>
      <c r="S8" s="174"/>
      <c r="T8" s="176"/>
      <c r="U8" s="172"/>
      <c r="V8" s="172"/>
      <c r="W8" s="172"/>
      <c r="X8" s="174" t="s">
        <v>474</v>
      </c>
      <c r="Y8" s="167">
        <f>Q8-I8</f>
        <v>31</v>
      </c>
      <c r="Z8" s="168"/>
      <c r="AA8" s="168"/>
      <c r="AB8" s="168"/>
      <c r="AC8" s="168"/>
    </row>
    <row r="9" spans="1:29" ht="63" x14ac:dyDescent="0.25">
      <c r="A9" s="167">
        <v>6</v>
      </c>
      <c r="B9" s="170" t="s">
        <v>475</v>
      </c>
      <c r="C9" s="170">
        <v>129644</v>
      </c>
      <c r="D9" s="177" t="s">
        <v>476</v>
      </c>
      <c r="E9" s="170">
        <v>129649</v>
      </c>
      <c r="F9" s="177" t="s">
        <v>477</v>
      </c>
      <c r="G9" s="170">
        <v>129658</v>
      </c>
      <c r="H9" s="177" t="s">
        <v>478</v>
      </c>
      <c r="I9" s="170">
        <v>129667</v>
      </c>
      <c r="J9" s="177" t="s">
        <v>479</v>
      </c>
      <c r="K9" s="170">
        <v>129671</v>
      </c>
      <c r="L9" s="177" t="s">
        <v>480</v>
      </c>
      <c r="M9" s="167">
        <v>6</v>
      </c>
      <c r="N9" s="170" t="s">
        <v>475</v>
      </c>
      <c r="O9" s="178"/>
      <c r="P9" s="178"/>
      <c r="Q9" s="167">
        <v>129681</v>
      </c>
      <c r="R9" s="173" t="s">
        <v>481</v>
      </c>
      <c r="S9" s="174"/>
      <c r="T9" s="176"/>
      <c r="U9" s="178"/>
      <c r="V9" s="178"/>
      <c r="W9" s="178"/>
      <c r="X9" s="174" t="s">
        <v>482</v>
      </c>
      <c r="Y9" s="167">
        <f>Q9-C9</f>
        <v>37</v>
      </c>
      <c r="Z9" s="168"/>
      <c r="AA9" s="168"/>
      <c r="AB9" s="168"/>
      <c r="AC9" s="168"/>
    </row>
    <row r="10" spans="1:29" ht="47.25" x14ac:dyDescent="0.25">
      <c r="A10" s="167">
        <v>7</v>
      </c>
      <c r="B10" s="170" t="s">
        <v>483</v>
      </c>
      <c r="C10" s="167">
        <v>95318</v>
      </c>
      <c r="D10" s="171" t="s">
        <v>484</v>
      </c>
      <c r="E10" s="172"/>
      <c r="F10" s="172"/>
      <c r="G10" s="167">
        <v>95338</v>
      </c>
      <c r="H10" s="173" t="s">
        <v>485</v>
      </c>
      <c r="I10" s="179"/>
      <c r="J10" s="172"/>
      <c r="K10" s="167">
        <v>95350</v>
      </c>
      <c r="L10" s="173" t="s">
        <v>486</v>
      </c>
      <c r="M10" s="167">
        <v>7</v>
      </c>
      <c r="N10" s="170" t="s">
        <v>483</v>
      </c>
      <c r="O10" s="172"/>
      <c r="P10" s="172"/>
      <c r="Q10" s="167">
        <v>95383</v>
      </c>
      <c r="R10" s="173" t="s">
        <v>487</v>
      </c>
      <c r="S10" s="174"/>
      <c r="T10" s="173"/>
      <c r="U10" s="172"/>
      <c r="V10" s="172"/>
      <c r="W10" s="172"/>
      <c r="X10" s="174" t="s">
        <v>488</v>
      </c>
      <c r="Y10" s="167">
        <f>Q10-C10</f>
        <v>65</v>
      </c>
      <c r="Z10" s="168"/>
      <c r="AA10" s="168"/>
      <c r="AB10" s="168"/>
      <c r="AC10" s="168"/>
    </row>
    <row r="11" spans="1:29" ht="75" x14ac:dyDescent="0.25">
      <c r="A11" s="167">
        <v>8</v>
      </c>
      <c r="B11" s="170" t="s">
        <v>489</v>
      </c>
      <c r="C11" s="167">
        <v>332415</v>
      </c>
      <c r="D11" s="171" t="s">
        <v>461</v>
      </c>
      <c r="E11" s="180"/>
      <c r="F11" s="180"/>
      <c r="G11" s="167">
        <v>332420</v>
      </c>
      <c r="H11" s="173" t="s">
        <v>490</v>
      </c>
      <c r="I11" s="179">
        <v>332443</v>
      </c>
      <c r="J11" s="173" t="s">
        <v>491</v>
      </c>
      <c r="K11" s="167">
        <v>332456</v>
      </c>
      <c r="L11" s="176" t="s">
        <v>492</v>
      </c>
      <c r="M11" s="167">
        <v>8</v>
      </c>
      <c r="N11" s="170" t="s">
        <v>489</v>
      </c>
      <c r="O11" s="172"/>
      <c r="P11" s="172"/>
      <c r="Q11" s="167">
        <v>332483</v>
      </c>
      <c r="R11" s="173" t="s">
        <v>493</v>
      </c>
      <c r="S11" s="174"/>
      <c r="T11" s="176"/>
      <c r="U11" s="181"/>
      <c r="V11" s="176"/>
      <c r="W11" s="172"/>
      <c r="X11" s="174" t="s">
        <v>494</v>
      </c>
      <c r="Y11" s="167">
        <f>Q11-C11</f>
        <v>68</v>
      </c>
      <c r="Z11" s="168"/>
      <c r="AA11" s="168"/>
      <c r="AB11" s="168"/>
      <c r="AC11" s="168"/>
    </row>
    <row r="12" spans="1:29" ht="45" x14ac:dyDescent="0.25">
      <c r="A12" s="167">
        <v>9</v>
      </c>
      <c r="B12" s="170" t="s">
        <v>495</v>
      </c>
      <c r="C12" s="167">
        <v>61758</v>
      </c>
      <c r="D12" s="171" t="s">
        <v>496</v>
      </c>
      <c r="E12" s="172"/>
      <c r="F12" s="176"/>
      <c r="G12" s="167">
        <v>61773</v>
      </c>
      <c r="H12" s="173" t="s">
        <v>497</v>
      </c>
      <c r="I12" s="179"/>
      <c r="J12" s="172"/>
      <c r="K12" s="167">
        <v>61778</v>
      </c>
      <c r="L12" s="173" t="s">
        <v>498</v>
      </c>
      <c r="M12" s="167">
        <v>9</v>
      </c>
      <c r="N12" s="170" t="s">
        <v>495</v>
      </c>
      <c r="O12" s="172"/>
      <c r="P12" s="172"/>
      <c r="Q12" s="167">
        <v>61789</v>
      </c>
      <c r="R12" s="173" t="s">
        <v>499</v>
      </c>
      <c r="S12" s="174"/>
      <c r="T12" s="176"/>
      <c r="U12" s="181"/>
      <c r="V12" s="176"/>
      <c r="W12" s="172"/>
      <c r="X12" s="174" t="s">
        <v>500</v>
      </c>
      <c r="Y12" s="167">
        <f>Q12-C12</f>
        <v>31</v>
      </c>
      <c r="Z12" s="168"/>
      <c r="AA12" s="168"/>
      <c r="AB12" s="168"/>
      <c r="AC12" s="168"/>
    </row>
    <row r="13" spans="1:29" ht="31.5" x14ac:dyDescent="0.25">
      <c r="A13" s="167">
        <v>10</v>
      </c>
      <c r="B13" s="170" t="s">
        <v>501</v>
      </c>
      <c r="C13" s="170"/>
      <c r="D13" s="398" t="s">
        <v>502</v>
      </c>
      <c r="E13" s="399"/>
      <c r="F13" s="400"/>
      <c r="G13" s="182"/>
      <c r="H13" s="182"/>
      <c r="I13" s="183"/>
      <c r="J13" s="183"/>
      <c r="K13" s="167"/>
      <c r="L13" s="176"/>
      <c r="M13" s="167">
        <v>10</v>
      </c>
      <c r="N13" s="170" t="s">
        <v>501</v>
      </c>
      <c r="O13" s="184"/>
      <c r="P13" s="184"/>
      <c r="Q13" s="167"/>
      <c r="R13" s="176"/>
      <c r="S13" s="174"/>
      <c r="T13" s="176"/>
      <c r="U13" s="184"/>
      <c r="V13" s="184"/>
      <c r="W13" s="184"/>
      <c r="X13" s="174" t="s">
        <v>503</v>
      </c>
      <c r="Y13" s="167">
        <v>0</v>
      </c>
      <c r="Z13" s="168"/>
      <c r="AA13" s="168"/>
      <c r="AB13" s="168"/>
      <c r="AC13" s="168"/>
    </row>
    <row r="14" spans="1:29" ht="31.5" x14ac:dyDescent="0.25">
      <c r="A14" s="167">
        <v>11</v>
      </c>
      <c r="B14" s="170" t="s">
        <v>504</v>
      </c>
      <c r="C14" s="167">
        <v>295248</v>
      </c>
      <c r="D14" s="170" t="s">
        <v>505</v>
      </c>
      <c r="E14" s="172"/>
      <c r="F14" s="172"/>
      <c r="G14" s="167"/>
      <c r="H14" s="172"/>
      <c r="I14" s="179"/>
      <c r="J14" s="172"/>
      <c r="K14" s="167">
        <v>295299</v>
      </c>
      <c r="L14" s="173" t="s">
        <v>506</v>
      </c>
      <c r="M14" s="167">
        <v>11</v>
      </c>
      <c r="N14" s="170" t="s">
        <v>504</v>
      </c>
      <c r="O14" s="172"/>
      <c r="P14" s="172"/>
      <c r="Q14" s="167">
        <v>295347</v>
      </c>
      <c r="R14" s="173" t="s">
        <v>507</v>
      </c>
      <c r="S14" s="167"/>
      <c r="T14" s="173"/>
      <c r="U14" s="185"/>
      <c r="V14" s="172"/>
      <c r="W14" s="172"/>
      <c r="X14" s="174" t="s">
        <v>508</v>
      </c>
      <c r="Y14" s="167">
        <f>Q14-C14</f>
        <v>99</v>
      </c>
      <c r="Z14" s="168"/>
      <c r="AA14" s="168"/>
      <c r="AB14" s="168"/>
      <c r="AC14" s="168"/>
    </row>
    <row r="15" spans="1:29" ht="63" x14ac:dyDescent="0.25">
      <c r="A15" s="167">
        <v>12</v>
      </c>
      <c r="B15" s="170" t="s">
        <v>509</v>
      </c>
      <c r="C15" s="167">
        <v>271787</v>
      </c>
      <c r="D15" s="171" t="s">
        <v>510</v>
      </c>
      <c r="E15" s="172"/>
      <c r="F15" s="172"/>
      <c r="G15" s="167">
        <v>271800</v>
      </c>
      <c r="H15" s="173" t="s">
        <v>511</v>
      </c>
      <c r="I15" s="167">
        <v>271815</v>
      </c>
      <c r="J15" s="173" t="s">
        <v>512</v>
      </c>
      <c r="K15" s="167">
        <v>271823</v>
      </c>
      <c r="L15" s="173" t="s">
        <v>513</v>
      </c>
      <c r="M15" s="167">
        <v>12</v>
      </c>
      <c r="N15" s="170" t="s">
        <v>509</v>
      </c>
      <c r="O15" s="167"/>
      <c r="P15" s="176"/>
      <c r="Q15" s="167">
        <v>271846</v>
      </c>
      <c r="R15" s="173" t="s">
        <v>514</v>
      </c>
      <c r="S15" s="174"/>
      <c r="T15" s="176"/>
      <c r="U15" s="181"/>
      <c r="V15" s="176"/>
      <c r="W15" s="172"/>
      <c r="X15" s="174" t="s">
        <v>515</v>
      </c>
      <c r="Y15" s="167">
        <f>Q15-C15</f>
        <v>59</v>
      </c>
      <c r="Z15" s="168"/>
      <c r="AA15" s="168"/>
      <c r="AB15" s="168"/>
      <c r="AC15" s="168"/>
    </row>
    <row r="16" spans="1:29" ht="105" x14ac:dyDescent="0.25">
      <c r="A16" s="167">
        <v>13</v>
      </c>
      <c r="B16" s="170" t="s">
        <v>516</v>
      </c>
      <c r="C16" s="167">
        <v>324286</v>
      </c>
      <c r="D16" s="171" t="s">
        <v>517</v>
      </c>
      <c r="E16" s="172"/>
      <c r="F16" s="172"/>
      <c r="G16" s="167">
        <v>324304</v>
      </c>
      <c r="H16" s="173" t="s">
        <v>518</v>
      </c>
      <c r="I16" s="179"/>
      <c r="J16" s="172"/>
      <c r="K16" s="167">
        <v>324310</v>
      </c>
      <c r="L16" s="173" t="s">
        <v>519</v>
      </c>
      <c r="M16" s="167">
        <v>13</v>
      </c>
      <c r="N16" s="170" t="s">
        <v>516</v>
      </c>
      <c r="O16" s="167"/>
      <c r="P16" s="173"/>
      <c r="Q16" s="167">
        <v>324345</v>
      </c>
      <c r="R16" s="173" t="s">
        <v>520</v>
      </c>
      <c r="S16" s="174"/>
      <c r="T16" s="173"/>
      <c r="U16" s="185"/>
      <c r="V16" s="172"/>
      <c r="W16" s="172"/>
      <c r="X16" s="174" t="s">
        <v>521</v>
      </c>
      <c r="Y16" s="167">
        <f>Q16-C16</f>
        <v>59</v>
      </c>
      <c r="Z16" s="168"/>
      <c r="AA16" s="168"/>
      <c r="AB16" s="168"/>
      <c r="AC16" s="168"/>
    </row>
    <row r="17" spans="1:29" ht="31.5" x14ac:dyDescent="0.25">
      <c r="A17" s="167">
        <v>14</v>
      </c>
      <c r="B17" s="170" t="s">
        <v>522</v>
      </c>
      <c r="C17" s="167">
        <v>426867</v>
      </c>
      <c r="D17" s="171" t="s">
        <v>523</v>
      </c>
      <c r="E17" s="172"/>
      <c r="F17" s="172"/>
      <c r="G17" s="167"/>
      <c r="H17" s="173"/>
      <c r="I17" s="179"/>
      <c r="J17" s="172"/>
      <c r="K17" s="1">
        <v>426888</v>
      </c>
      <c r="L17" s="186" t="s">
        <v>524</v>
      </c>
      <c r="M17" s="167">
        <v>14</v>
      </c>
      <c r="N17" s="170" t="s">
        <v>522</v>
      </c>
      <c r="O17" s="172"/>
      <c r="P17" s="172"/>
      <c r="Q17" s="167">
        <v>426903</v>
      </c>
      <c r="R17" s="173" t="s">
        <v>525</v>
      </c>
      <c r="S17" s="167"/>
      <c r="T17" s="173"/>
      <c r="U17" s="185"/>
      <c r="V17" s="172"/>
      <c r="W17" s="172"/>
      <c r="X17" s="174" t="s">
        <v>526</v>
      </c>
      <c r="Y17" s="167">
        <f>Q17-C17</f>
        <v>36</v>
      </c>
      <c r="Z17" s="168"/>
      <c r="AA17" s="168"/>
      <c r="AB17" s="168"/>
      <c r="AC17" s="168"/>
    </row>
    <row r="18" spans="1:29" ht="60" customHeight="1" x14ac:dyDescent="0.25">
      <c r="A18" s="168"/>
      <c r="B18" s="168"/>
      <c r="C18" s="187"/>
      <c r="D18" s="168"/>
      <c r="E18" s="168"/>
      <c r="F18" s="168"/>
      <c r="G18" s="187"/>
      <c r="H18" s="168"/>
      <c r="I18" s="188"/>
      <c r="J18" s="168"/>
      <c r="K18" s="187"/>
      <c r="L18" s="168"/>
      <c r="M18" s="168"/>
      <c r="N18" s="168"/>
      <c r="O18" s="168"/>
      <c r="P18" s="168"/>
      <c r="Q18" s="168"/>
      <c r="R18" s="168"/>
      <c r="S18" s="189"/>
      <c r="T18" s="168"/>
      <c r="U18" s="189"/>
      <c r="V18" s="168"/>
      <c r="W18" s="168"/>
      <c r="X18" s="168"/>
      <c r="Y18" s="188"/>
      <c r="Z18" s="168"/>
      <c r="AA18" s="168"/>
      <c r="AB18" s="168"/>
      <c r="AC18" s="168"/>
    </row>
    <row r="19" spans="1:29" x14ac:dyDescent="0.25">
      <c r="A19" s="168"/>
      <c r="B19" s="168"/>
      <c r="C19" s="168"/>
      <c r="D19" s="168"/>
      <c r="E19" s="168"/>
      <c r="F19" s="168"/>
      <c r="G19" s="168"/>
      <c r="H19" s="168"/>
      <c r="I19" s="188"/>
      <c r="J19" s="168"/>
      <c r="K19" s="187"/>
      <c r="L19" s="168"/>
      <c r="M19" s="168"/>
      <c r="N19" s="168"/>
      <c r="O19" s="168"/>
      <c r="P19" s="168"/>
      <c r="Q19" s="168"/>
      <c r="R19" s="168"/>
      <c r="S19" s="189"/>
      <c r="T19" s="168"/>
      <c r="U19" s="189"/>
      <c r="V19" s="168"/>
      <c r="W19" s="168"/>
      <c r="X19" s="168"/>
      <c r="Y19" s="188"/>
      <c r="Z19" s="168"/>
      <c r="AA19" s="168"/>
      <c r="AB19" s="168"/>
      <c r="AC19" s="168"/>
    </row>
  </sheetData>
  <mergeCells count="23">
    <mergeCell ref="U2:V2"/>
    <mergeCell ref="W2:W3"/>
    <mergeCell ref="X2:X3"/>
    <mergeCell ref="Y2:Y3"/>
    <mergeCell ref="D13:F13"/>
    <mergeCell ref="K2:L2"/>
    <mergeCell ref="M2:M3"/>
    <mergeCell ref="N2:N3"/>
    <mergeCell ref="O2:P2"/>
    <mergeCell ref="Q2:R2"/>
    <mergeCell ref="S2:T2"/>
    <mergeCell ref="I2:J2"/>
    <mergeCell ref="A2:A3"/>
    <mergeCell ref="B2:B3"/>
    <mergeCell ref="C2:D2"/>
    <mergeCell ref="E2:F2"/>
    <mergeCell ref="G2:H2"/>
    <mergeCell ref="W1:Y1"/>
    <mergeCell ref="A1:F1"/>
    <mergeCell ref="G1:J1"/>
    <mergeCell ref="K1:L1"/>
    <mergeCell ref="M1:R1"/>
    <mergeCell ref="S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F&amp;B 23.09.2025</vt:lpstr>
      <vt:lpstr>Township Maintenancwe23.09.2025</vt:lpstr>
      <vt:lpstr>Township Facility</vt:lpstr>
      <vt:lpstr>Horticulture</vt:lpstr>
      <vt:lpstr>Plant Admin Summary</vt:lpstr>
      <vt:lpstr>Road &amp; Drain </vt:lpstr>
      <vt:lpstr>Employee Mobility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Srinivasa Rao</dc:creator>
  <cp:lastModifiedBy>Anurag Patel</cp:lastModifiedBy>
  <dcterms:created xsi:type="dcterms:W3CDTF">2025-05-17T04:31:33Z</dcterms:created>
  <dcterms:modified xsi:type="dcterms:W3CDTF">2026-05-22T13:24:56Z</dcterms:modified>
</cp:coreProperties>
</file>