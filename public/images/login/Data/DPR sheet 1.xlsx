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34FC92A5-8A5A-494E-898E-85C7CCB7D13C}" xr6:coauthVersionLast="47" xr6:coauthVersionMax="47" xr10:uidLastSave="{00000000-0000-0000-0000-000000000000}"/>
  <bookViews>
    <workbookView xWindow="-120" yWindow="-120" windowWidth="29040" windowHeight="16440" xr2:uid="{363EC6AC-C92F-4F61-BA2E-93029723C8A0}"/>
  </bookViews>
  <sheets>
    <sheet name="F&amp;B 23.09.2025" sheetId="9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91" l="1"/>
  <c r="D44" i="91"/>
  <c r="E44" i="91"/>
  <c r="F44" i="91"/>
  <c r="G44" i="91"/>
  <c r="H44" i="91"/>
  <c r="I44" i="91"/>
  <c r="J44" i="91"/>
  <c r="G57" i="91"/>
  <c r="H78" i="91"/>
</calcChain>
</file>

<file path=xl/sharedStrings.xml><?xml version="1.0" encoding="utf-8"?>
<sst xmlns="http://schemas.openxmlformats.org/spreadsheetml/2006/main" count="113" uniqueCount="99">
  <si>
    <t>Actual</t>
  </si>
  <si>
    <t>Present</t>
  </si>
  <si>
    <t>Total</t>
  </si>
  <si>
    <t xml:space="preserve">Total no. of On Roll Employees </t>
  </si>
  <si>
    <t xml:space="preserve">Total no. of On Associate Employees </t>
  </si>
  <si>
    <t>Sparkal</t>
  </si>
  <si>
    <t>JBC</t>
  </si>
  <si>
    <t xml:space="preserve">Any Other Activity </t>
  </si>
  <si>
    <t>S.n.</t>
  </si>
  <si>
    <t xml:space="preserve">Details </t>
  </si>
  <si>
    <t xml:space="preserve">Total no. of out Sourced Employees </t>
  </si>
  <si>
    <t>Manpower Details</t>
  </si>
  <si>
    <t>(i)</t>
  </si>
  <si>
    <t>(ii)</t>
  </si>
  <si>
    <t>(iii)</t>
  </si>
  <si>
    <t>JBN</t>
  </si>
  <si>
    <t>Rashmi Hospitality Pvt. Ltd.</t>
  </si>
  <si>
    <t>Rashmi Hospitality</t>
  </si>
  <si>
    <t>Infinzy</t>
  </si>
  <si>
    <t>Guest House Occupancy</t>
  </si>
  <si>
    <t>No. of Rooms</t>
  </si>
  <si>
    <t>No. of Rooms Occupied</t>
  </si>
  <si>
    <t>IB River Guest House</t>
  </si>
  <si>
    <t>New GET Guest House</t>
  </si>
  <si>
    <t xml:space="preserve">Meal Report </t>
  </si>
  <si>
    <t>Break Fast</t>
  </si>
  <si>
    <t xml:space="preserve">Lunch </t>
  </si>
  <si>
    <t>Dinner</t>
  </si>
  <si>
    <t>Snacks</t>
  </si>
  <si>
    <t>Lemon Water</t>
  </si>
  <si>
    <t>Tea</t>
  </si>
  <si>
    <t xml:space="preserve">Biscuits </t>
  </si>
  <si>
    <t>Meal Report</t>
  </si>
  <si>
    <t>Lunch</t>
  </si>
  <si>
    <t xml:space="preserve">Dinner </t>
  </si>
  <si>
    <t>Parcel</t>
  </si>
  <si>
    <t>V.I.P</t>
  </si>
  <si>
    <t>V.I.P MAIL</t>
  </si>
  <si>
    <t>NG V.I.P</t>
  </si>
  <si>
    <t>NG V.I.P MAIL</t>
  </si>
  <si>
    <t xml:space="preserve">GET </t>
  </si>
  <si>
    <t>GET MAIL</t>
  </si>
  <si>
    <t xml:space="preserve">NEW GET </t>
  </si>
  <si>
    <t>EH 4/5</t>
  </si>
  <si>
    <t>EH 2/3</t>
  </si>
  <si>
    <t>WRM</t>
  </si>
  <si>
    <t>CRM</t>
  </si>
  <si>
    <t>CSP</t>
  </si>
  <si>
    <t>PELLET</t>
  </si>
  <si>
    <t>DISPATCH</t>
  </si>
  <si>
    <t>KILN</t>
  </si>
  <si>
    <t>SMS 1</t>
  </si>
  <si>
    <t>SMS-2</t>
  </si>
  <si>
    <t>GATE NO-2</t>
  </si>
  <si>
    <t xml:space="preserve">POWER PLANT </t>
  </si>
  <si>
    <t>TEA / BISC ( C SHIFT)</t>
  </si>
  <si>
    <t xml:space="preserve">TOTAL </t>
  </si>
  <si>
    <t>New GET Evening Snacks Details</t>
  </si>
  <si>
    <t>Item</t>
  </si>
  <si>
    <t>Quantity</t>
  </si>
  <si>
    <t>Rate</t>
  </si>
  <si>
    <t>Veg Sandwich</t>
  </si>
  <si>
    <t xml:space="preserve"> </t>
  </si>
  <si>
    <t>Masala Omlet</t>
  </si>
  <si>
    <t>Egg Bhurji</t>
  </si>
  <si>
    <t>Masala Maggi</t>
  </si>
  <si>
    <t>Plain Maggi</t>
  </si>
  <si>
    <t>Kulhad Tea</t>
  </si>
  <si>
    <t>Kulhad Coffee</t>
  </si>
  <si>
    <t>Hot Snacks</t>
  </si>
  <si>
    <t>Vehicle Movement (Kms.)</t>
  </si>
  <si>
    <t>Shift A</t>
  </si>
  <si>
    <t>Shift G</t>
  </si>
  <si>
    <t>Shift B</t>
  </si>
  <si>
    <t>Shift C</t>
  </si>
  <si>
    <t>Total Kms</t>
  </si>
  <si>
    <t>Vehicle No</t>
  </si>
  <si>
    <t>OD 15AA 3528 (Innova Hybrid)</t>
  </si>
  <si>
    <t>OD 15AA 9304 (MG-EV)</t>
  </si>
  <si>
    <t>OD 15AA 9398 (MG-EV)</t>
  </si>
  <si>
    <t>OD 15AA 9273 (MG-EV)</t>
  </si>
  <si>
    <t>OD 15AA 9346 (MG-EV)</t>
  </si>
  <si>
    <t>OD 15AA 9203 (MG-EV)</t>
  </si>
  <si>
    <t>OD 15AA 9148 (MG-EV)</t>
  </si>
  <si>
    <t>OD 15AA 9147 (MG-EV)</t>
  </si>
  <si>
    <t>OD 15AA 9357 (MG-EV)</t>
  </si>
  <si>
    <t>OD 15AB 1797 (MG-EV)</t>
  </si>
  <si>
    <t>OD 15U 1808 (Honda City)</t>
  </si>
  <si>
    <t>OD 15U 1866 (Honda City)</t>
  </si>
  <si>
    <t>OD 15U 3528 (Toyota Innova)</t>
  </si>
  <si>
    <t>OD 15A 9313 (Pick up)</t>
  </si>
  <si>
    <t>OD 15C 2235 (Pick up)</t>
  </si>
  <si>
    <t>OD 15Q 9629 (Bolero)</t>
  </si>
  <si>
    <t>Total Running for the Day</t>
  </si>
  <si>
    <t>VIP Guest House</t>
  </si>
  <si>
    <t>Tea/Coffee</t>
  </si>
  <si>
    <t>4</t>
  </si>
  <si>
    <t>10/29</t>
  </si>
  <si>
    <t xml:space="preserve">    Township Guest House,Canteen and Vehicle  - Daily Report                                                          Date : 23.09.2025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</si>
</sst>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\-??_ ;_ 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3">
    <xf numFmtId="0" fontId="0" fillId="0" borderId="0"/>
    <xf numFmtId="0" fontId="1" fillId="0" borderId="0"/>
    <xf numFmtId="0" fontId="3" fillId="0" borderId="0"/>
    <xf numFmtId="164" fontId="3" fillId="0" borderId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89">
    <xf numFmtId="0" fontId="0" fillId="0" borderId="0" xfId="0"/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13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7" xfId="0" applyFont="1" applyBorder="1"/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7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2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49" fontId="8" fillId="0" borderId="6" xfId="12" applyNumberFormat="1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5" fillId="0" borderId="26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8" fontId="5" fillId="0" borderId="26" xfId="0" applyNumberFormat="1" applyFont="1" applyBorder="1" applyAlignment="1">
      <alignment horizontal="left"/>
    </xf>
    <xf numFmtId="18" fontId="5" fillId="0" borderId="2" xfId="0" applyNumberFormat="1" applyFont="1" applyBorder="1" applyAlignment="1">
      <alignment horizontal="left"/>
    </xf>
    <xf numFmtId="18" fontId="5" fillId="0" borderId="29" xfId="0" applyNumberFormat="1" applyFont="1" applyBorder="1" applyAlignment="1">
      <alignment horizontal="left"/>
    </xf>
    <xf numFmtId="20" fontId="5" fillId="0" borderId="26" xfId="0" applyNumberFormat="1" applyFont="1" applyBorder="1" applyAlignment="1">
      <alignment horizontal="left"/>
    </xf>
    <xf numFmtId="20" fontId="5" fillId="0" borderId="2" xfId="0" applyNumberFormat="1" applyFont="1" applyBorder="1" applyAlignment="1">
      <alignment horizontal="left"/>
    </xf>
    <xf numFmtId="20" fontId="5" fillId="0" borderId="29" xfId="0" applyNumberFormat="1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9" xfId="0" applyFont="1" applyBorder="1" applyAlignment="1">
      <alignment horizontal="left"/>
    </xf>
  </cellXfs>
  <cellStyles count="13">
    <cellStyle name="Comma 2" xfId="3" xr:uid="{43640ABB-179E-41CD-8CE4-90FCDB2F19CB}"/>
    <cellStyle name="Normal" xfId="0" builtinId="0"/>
    <cellStyle name="Normal 2" xfId="1" xr:uid="{FF643B3A-9E5F-48C2-8DAA-FDA8949144F9}"/>
    <cellStyle name="Normal 2 2" xfId="4" xr:uid="{461BAEF7-0429-496F-B73E-CAA7CF1F55C5}"/>
    <cellStyle name="Normal 3" xfId="5" xr:uid="{DFBD4921-4505-4984-AEDF-62B061D7555D}"/>
    <cellStyle name="Normal 4" xfId="6" xr:uid="{8CDF419C-1C79-4DF1-BD64-861D32F08B37}"/>
    <cellStyle name="Normal 5" xfId="7" xr:uid="{E52AD744-AEE8-4100-9025-E435D3481078}"/>
    <cellStyle name="Normal 6" xfId="8" xr:uid="{DEA11A3C-6837-471C-A140-700BAA50917A}"/>
    <cellStyle name="Normal 7" xfId="9" xr:uid="{1F293C02-6975-4EC0-A33D-17F2E7F8BA7F}"/>
    <cellStyle name="Normal 8" xfId="10" xr:uid="{DADAB5BB-626B-43BA-8887-9CF01F087D81}"/>
    <cellStyle name="Normal 9" xfId="2" xr:uid="{7329BF83-7951-4688-B734-4156C94BCE7E}"/>
    <cellStyle name="Normal 9 2" xfId="11" xr:uid="{4D1867B2-118C-4962-B9D9-B5F4DD56986E}"/>
    <cellStyle name="Percent" xfId="1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D40C-4783-405E-ABC4-95B4ACF7D4A7}">
  <dimension ref="B1:K87"/>
  <sheetViews>
    <sheetView tabSelected="1" workbookViewId="0">
      <selection activeCell="C29" sqref="C29"/>
    </sheetView>
  </sheetViews>
  <sheetFormatPr defaultColWidth="9.140625" defaultRowHeight="15.75" x14ac:dyDescent="0.25"/>
  <cols>
    <col min="1" max="1" width="9.140625" style="5"/>
    <col min="2" max="2" width="4.5703125" style="3" customWidth="1"/>
    <col min="3" max="3" width="39.5703125" style="4" customWidth="1"/>
    <col min="4" max="6" width="34.140625" style="4" customWidth="1"/>
    <col min="7" max="7" width="37.42578125" style="3" customWidth="1"/>
    <col min="8" max="8" width="26.42578125" style="5" customWidth="1"/>
    <col min="9" max="9" width="11.42578125" style="5" bestFit="1" customWidth="1"/>
    <col min="10" max="10" width="12.85546875" style="5" bestFit="1" customWidth="1"/>
    <col min="11" max="11" width="12.28515625" style="5" customWidth="1"/>
    <col min="12" max="12" width="9.140625" style="5"/>
    <col min="13" max="13" width="16.42578125" style="5" customWidth="1"/>
    <col min="14" max="16384" width="9.140625" style="5"/>
  </cols>
  <sheetData>
    <row r="1" spans="2:11" ht="16.5" thickBot="1" x14ac:dyDescent="0.3"/>
    <row r="2" spans="2:11" ht="16.5" thickBot="1" x14ac:dyDescent="0.3">
      <c r="B2" s="60" t="s">
        <v>98</v>
      </c>
      <c r="C2" s="61"/>
      <c r="D2" s="61"/>
      <c r="E2" s="61"/>
      <c r="F2" s="61"/>
      <c r="G2" s="61"/>
      <c r="H2" s="61"/>
      <c r="I2" s="61"/>
      <c r="J2" s="61"/>
      <c r="K2" s="62"/>
    </row>
    <row r="3" spans="2:11" ht="16.5" thickBot="1" x14ac:dyDescent="0.3">
      <c r="B3" s="6" t="s">
        <v>8</v>
      </c>
      <c r="C3" s="63" t="s">
        <v>9</v>
      </c>
      <c r="D3" s="64"/>
      <c r="E3" s="64"/>
      <c r="F3" s="64"/>
      <c r="G3" s="64"/>
      <c r="H3" s="64"/>
      <c r="I3" s="64"/>
      <c r="J3" s="64"/>
      <c r="K3" s="65"/>
    </row>
    <row r="4" spans="2:11" x14ac:dyDescent="0.25">
      <c r="B4" s="7">
        <v>1</v>
      </c>
      <c r="C4" s="8" t="s">
        <v>11</v>
      </c>
      <c r="D4" s="8" t="s">
        <v>0</v>
      </c>
      <c r="E4" s="8" t="s">
        <v>1</v>
      </c>
      <c r="F4" s="9"/>
      <c r="K4" s="10"/>
    </row>
    <row r="5" spans="2:11" x14ac:dyDescent="0.25">
      <c r="B5" s="11" t="s">
        <v>12</v>
      </c>
      <c r="C5" s="12" t="s">
        <v>3</v>
      </c>
      <c r="D5" s="12">
        <v>11</v>
      </c>
      <c r="E5" s="12">
        <v>11</v>
      </c>
      <c r="F5" s="3"/>
      <c r="H5" s="13"/>
      <c r="I5" s="13"/>
      <c r="J5" s="13"/>
      <c r="K5" s="14"/>
    </row>
    <row r="6" spans="2:11" x14ac:dyDescent="0.25">
      <c r="B6" s="11" t="s">
        <v>13</v>
      </c>
      <c r="C6" s="12" t="s">
        <v>4</v>
      </c>
      <c r="D6" s="12">
        <f>26+36</f>
        <v>62</v>
      </c>
      <c r="E6" s="12">
        <v>53</v>
      </c>
      <c r="F6" s="3"/>
      <c r="H6" s="13"/>
      <c r="I6" s="13"/>
      <c r="J6" s="13"/>
      <c r="K6" s="14"/>
    </row>
    <row r="7" spans="2:11" x14ac:dyDescent="0.25">
      <c r="B7" s="11" t="s">
        <v>14</v>
      </c>
      <c r="C7" s="15" t="s">
        <v>10</v>
      </c>
      <c r="D7" s="12"/>
      <c r="E7" s="12"/>
      <c r="F7" s="3"/>
      <c r="H7" s="13"/>
      <c r="I7" s="13"/>
      <c r="J7" s="13"/>
      <c r="K7" s="14"/>
    </row>
    <row r="8" spans="2:11" x14ac:dyDescent="0.25">
      <c r="B8" s="11"/>
      <c r="C8" s="15" t="s">
        <v>15</v>
      </c>
      <c r="D8" s="12"/>
      <c r="E8" s="12"/>
      <c r="F8" s="3"/>
      <c r="H8" s="13"/>
      <c r="I8" s="13"/>
      <c r="J8" s="13"/>
      <c r="K8" s="14"/>
    </row>
    <row r="9" spans="2:11" x14ac:dyDescent="0.25">
      <c r="B9" s="11" t="s">
        <v>12</v>
      </c>
      <c r="C9" s="12" t="s">
        <v>16</v>
      </c>
      <c r="D9" s="2">
        <v>17</v>
      </c>
      <c r="E9" s="12">
        <v>16</v>
      </c>
      <c r="F9" s="3"/>
      <c r="H9" s="13"/>
      <c r="I9" s="13"/>
      <c r="J9" s="13"/>
      <c r="K9" s="14"/>
    </row>
    <row r="10" spans="2:11" x14ac:dyDescent="0.25">
      <c r="B10" s="11"/>
      <c r="C10" s="12"/>
      <c r="D10" s="12"/>
      <c r="E10" s="12"/>
      <c r="F10" s="3"/>
      <c r="H10" s="13"/>
      <c r="I10" s="13"/>
      <c r="J10" s="13"/>
      <c r="K10" s="14"/>
    </row>
    <row r="11" spans="2:11" x14ac:dyDescent="0.25">
      <c r="B11" s="11"/>
      <c r="C11" s="15" t="s">
        <v>6</v>
      </c>
      <c r="D11" s="12"/>
      <c r="E11" s="12"/>
      <c r="F11" s="3"/>
      <c r="H11" s="13"/>
      <c r="I11" s="13"/>
      <c r="J11" s="13"/>
      <c r="K11" s="14"/>
    </row>
    <row r="12" spans="2:11" x14ac:dyDescent="0.25">
      <c r="B12" s="11" t="s">
        <v>12</v>
      </c>
      <c r="C12" s="12" t="s">
        <v>17</v>
      </c>
      <c r="D12" s="12">
        <v>161</v>
      </c>
      <c r="E12" s="12">
        <v>135</v>
      </c>
      <c r="F12" s="3"/>
      <c r="H12" s="13"/>
      <c r="I12" s="13"/>
      <c r="J12" s="13"/>
      <c r="K12" s="14"/>
    </row>
    <row r="13" spans="2:11" x14ac:dyDescent="0.25">
      <c r="B13" s="11" t="s">
        <v>13</v>
      </c>
      <c r="C13" s="12" t="s">
        <v>18</v>
      </c>
      <c r="D13" s="12">
        <v>7</v>
      </c>
      <c r="E13" s="12">
        <v>4</v>
      </c>
      <c r="F13" s="3"/>
      <c r="H13" s="13"/>
      <c r="I13" s="13"/>
      <c r="J13" s="13"/>
      <c r="K13" s="14"/>
    </row>
    <row r="14" spans="2:11" x14ac:dyDescent="0.25">
      <c r="B14" s="11" t="s">
        <v>14</v>
      </c>
      <c r="C14" s="12" t="s">
        <v>5</v>
      </c>
      <c r="D14" s="12">
        <v>27</v>
      </c>
      <c r="E14" s="12">
        <v>25</v>
      </c>
      <c r="F14" s="3"/>
      <c r="H14" s="13"/>
      <c r="I14" s="13"/>
      <c r="J14" s="13"/>
      <c r="K14" s="14"/>
    </row>
    <row r="15" spans="2:11" x14ac:dyDescent="0.25">
      <c r="B15" s="11"/>
      <c r="C15" s="12"/>
      <c r="D15" s="12"/>
      <c r="E15" s="12"/>
      <c r="F15" s="3"/>
      <c r="H15" s="13"/>
      <c r="I15" s="13"/>
      <c r="J15" s="13"/>
      <c r="K15" s="14"/>
    </row>
    <row r="16" spans="2:11" x14ac:dyDescent="0.25">
      <c r="B16" s="7">
        <v>2</v>
      </c>
      <c r="C16" s="16" t="s">
        <v>19</v>
      </c>
      <c r="D16" s="17" t="s">
        <v>20</v>
      </c>
      <c r="E16" s="18" t="s">
        <v>21</v>
      </c>
      <c r="F16" s="3"/>
      <c r="H16" s="13"/>
      <c r="I16" s="13"/>
      <c r="J16" s="13"/>
      <c r="K16" s="14"/>
    </row>
    <row r="17" spans="2:11" x14ac:dyDescent="0.25">
      <c r="B17" s="11" t="s">
        <v>12</v>
      </c>
      <c r="C17" s="12" t="s">
        <v>22</v>
      </c>
      <c r="D17" s="12">
        <v>76</v>
      </c>
      <c r="E17" s="12">
        <v>19</v>
      </c>
      <c r="F17" s="3"/>
      <c r="H17" s="13"/>
      <c r="I17" s="13"/>
      <c r="J17" s="13"/>
      <c r="K17" s="14"/>
    </row>
    <row r="18" spans="2:11" x14ac:dyDescent="0.25">
      <c r="B18" s="11" t="s">
        <v>13</v>
      </c>
      <c r="C18" s="12" t="s">
        <v>94</v>
      </c>
      <c r="D18" s="12">
        <v>33</v>
      </c>
      <c r="E18" s="12">
        <v>9</v>
      </c>
      <c r="F18" s="3"/>
      <c r="H18" s="13"/>
      <c r="I18" s="13"/>
      <c r="J18" s="13"/>
      <c r="K18" s="14"/>
    </row>
    <row r="19" spans="2:11" x14ac:dyDescent="0.25">
      <c r="B19" s="11" t="s">
        <v>14</v>
      </c>
      <c r="C19" s="19" t="s">
        <v>23</v>
      </c>
      <c r="D19" s="19">
        <v>42</v>
      </c>
      <c r="E19" s="12">
        <v>22</v>
      </c>
      <c r="F19" s="3"/>
      <c r="H19" s="13"/>
      <c r="I19" s="13"/>
      <c r="J19" s="13"/>
      <c r="K19" s="14"/>
    </row>
    <row r="20" spans="2:11" x14ac:dyDescent="0.25">
      <c r="B20" s="11"/>
      <c r="C20" s="12"/>
      <c r="D20" s="19"/>
      <c r="E20" s="12"/>
      <c r="F20" s="3"/>
      <c r="H20" s="13"/>
      <c r="I20" s="13"/>
      <c r="J20" s="13"/>
      <c r="K20" s="14"/>
    </row>
    <row r="21" spans="2:11" x14ac:dyDescent="0.25">
      <c r="B21" s="7">
        <v>3</v>
      </c>
      <c r="C21" s="20" t="s">
        <v>24</v>
      </c>
      <c r="D21" s="16" t="s">
        <v>25</v>
      </c>
      <c r="E21" s="21" t="s">
        <v>26</v>
      </c>
      <c r="F21" s="16" t="s">
        <v>27</v>
      </c>
      <c r="G21" s="16" t="s">
        <v>28</v>
      </c>
      <c r="H21" s="16" t="s">
        <v>29</v>
      </c>
      <c r="I21" s="16" t="s">
        <v>95</v>
      </c>
      <c r="J21" s="22" t="s">
        <v>31</v>
      </c>
      <c r="K21" s="22"/>
    </row>
    <row r="22" spans="2:11" x14ac:dyDescent="0.25">
      <c r="B22" s="11"/>
      <c r="C22" s="12" t="s">
        <v>22</v>
      </c>
      <c r="D22" s="23">
        <v>16</v>
      </c>
      <c r="E22" s="24">
        <v>27</v>
      </c>
      <c r="F22" s="24">
        <v>18</v>
      </c>
      <c r="G22" s="24">
        <v>74</v>
      </c>
      <c r="H22" s="24">
        <v>50</v>
      </c>
      <c r="I22" s="52" t="s">
        <v>97</v>
      </c>
      <c r="J22" s="52" t="s">
        <v>96</v>
      </c>
      <c r="K22" s="25"/>
    </row>
    <row r="23" spans="2:11" x14ac:dyDescent="0.25">
      <c r="B23" s="7">
        <v>4</v>
      </c>
      <c r="C23" s="26" t="s">
        <v>32</v>
      </c>
      <c r="D23" s="22" t="s">
        <v>25</v>
      </c>
      <c r="E23" s="22" t="s">
        <v>33</v>
      </c>
      <c r="F23" s="22" t="s">
        <v>34</v>
      </c>
      <c r="G23" s="22" t="s">
        <v>35</v>
      </c>
      <c r="H23" s="22" t="s">
        <v>28</v>
      </c>
      <c r="I23" s="22" t="s">
        <v>30</v>
      </c>
      <c r="J23" s="22" t="s">
        <v>31</v>
      </c>
      <c r="K23" s="14"/>
    </row>
    <row r="24" spans="2:11" x14ac:dyDescent="0.25">
      <c r="B24" s="11">
        <v>1</v>
      </c>
      <c r="C24" s="27" t="s">
        <v>36</v>
      </c>
      <c r="D24" s="2">
        <v>31</v>
      </c>
      <c r="E24" s="2">
        <v>41</v>
      </c>
      <c r="F24" s="2">
        <v>19</v>
      </c>
      <c r="G24" s="1">
        <v>28</v>
      </c>
      <c r="H24" s="2">
        <v>0</v>
      </c>
      <c r="I24" s="2">
        <v>16</v>
      </c>
      <c r="J24" s="2">
        <v>0</v>
      </c>
      <c r="K24" s="14"/>
    </row>
    <row r="25" spans="2:11" x14ac:dyDescent="0.25">
      <c r="B25" s="11">
        <v>2</v>
      </c>
      <c r="C25" s="27" t="s">
        <v>37</v>
      </c>
      <c r="D25" s="2">
        <v>1</v>
      </c>
      <c r="E25" s="2">
        <v>1</v>
      </c>
      <c r="F25" s="2">
        <v>1</v>
      </c>
      <c r="G25" s="2">
        <v>0</v>
      </c>
      <c r="H25" s="2">
        <v>0</v>
      </c>
      <c r="I25" s="2">
        <v>1</v>
      </c>
      <c r="J25" s="2">
        <v>0</v>
      </c>
      <c r="K25" s="14"/>
    </row>
    <row r="26" spans="2:11" x14ac:dyDescent="0.25">
      <c r="B26" s="11">
        <v>3</v>
      </c>
      <c r="C26" s="27" t="s">
        <v>38</v>
      </c>
      <c r="D26" s="2">
        <v>197</v>
      </c>
      <c r="E26" s="2">
        <v>484</v>
      </c>
      <c r="F26" s="2">
        <v>148</v>
      </c>
      <c r="G26" s="2">
        <v>84</v>
      </c>
      <c r="H26" s="2">
        <v>0</v>
      </c>
      <c r="I26" s="2">
        <v>29</v>
      </c>
      <c r="J26" s="2">
        <v>0</v>
      </c>
      <c r="K26" s="14"/>
    </row>
    <row r="27" spans="2:11" x14ac:dyDescent="0.25">
      <c r="B27" s="11">
        <v>4</v>
      </c>
      <c r="C27" s="27" t="s">
        <v>39</v>
      </c>
      <c r="D27" s="2">
        <v>107</v>
      </c>
      <c r="E27" s="2">
        <v>166</v>
      </c>
      <c r="F27" s="2">
        <v>114</v>
      </c>
      <c r="G27" s="2">
        <v>0</v>
      </c>
      <c r="H27" s="2">
        <v>0</v>
      </c>
      <c r="I27" s="2">
        <v>36</v>
      </c>
      <c r="J27" s="2">
        <v>0</v>
      </c>
      <c r="K27" s="14"/>
    </row>
    <row r="28" spans="2:11" x14ac:dyDescent="0.25">
      <c r="B28" s="11">
        <v>5</v>
      </c>
      <c r="C28" s="27" t="s">
        <v>40</v>
      </c>
      <c r="D28" s="2">
        <v>52</v>
      </c>
      <c r="E28" s="2">
        <v>81</v>
      </c>
      <c r="F28" s="2">
        <v>43</v>
      </c>
      <c r="G28" s="2">
        <v>8</v>
      </c>
      <c r="H28" s="2">
        <v>80</v>
      </c>
      <c r="I28" s="2">
        <v>50</v>
      </c>
      <c r="J28" s="2">
        <v>0</v>
      </c>
      <c r="K28" s="14"/>
    </row>
    <row r="29" spans="2:11" x14ac:dyDescent="0.25">
      <c r="B29" s="11">
        <v>6</v>
      </c>
      <c r="C29" s="27" t="s">
        <v>41</v>
      </c>
      <c r="D29" s="2">
        <v>80</v>
      </c>
      <c r="E29" s="2">
        <v>200</v>
      </c>
      <c r="F29" s="2">
        <v>106</v>
      </c>
      <c r="G29" s="2">
        <v>0</v>
      </c>
      <c r="H29" s="2">
        <v>527</v>
      </c>
      <c r="I29" s="2">
        <v>652</v>
      </c>
      <c r="J29" s="2">
        <v>0</v>
      </c>
      <c r="K29" s="14"/>
    </row>
    <row r="30" spans="2:11" x14ac:dyDescent="0.25">
      <c r="B30" s="11">
        <v>7</v>
      </c>
      <c r="C30" s="27" t="s">
        <v>42</v>
      </c>
      <c r="D30" s="2">
        <v>33</v>
      </c>
      <c r="E30" s="2">
        <v>65</v>
      </c>
      <c r="F30" s="2">
        <v>20</v>
      </c>
      <c r="G30" s="2">
        <v>5</v>
      </c>
      <c r="H30" s="2">
        <v>0</v>
      </c>
      <c r="I30" s="2">
        <v>0</v>
      </c>
      <c r="J30" s="2">
        <v>0</v>
      </c>
      <c r="K30" s="14"/>
    </row>
    <row r="31" spans="2:11" x14ac:dyDescent="0.25">
      <c r="B31" s="11">
        <v>8</v>
      </c>
      <c r="C31" s="27" t="s">
        <v>43</v>
      </c>
      <c r="D31" s="2">
        <v>26</v>
      </c>
      <c r="E31" s="2">
        <v>71</v>
      </c>
      <c r="F31" s="2">
        <v>72</v>
      </c>
      <c r="G31" s="2">
        <v>0</v>
      </c>
      <c r="H31" s="2">
        <v>0</v>
      </c>
      <c r="I31" s="2">
        <v>9</v>
      </c>
      <c r="J31" s="2">
        <v>0</v>
      </c>
      <c r="K31" s="14"/>
    </row>
    <row r="32" spans="2:11" x14ac:dyDescent="0.25">
      <c r="B32" s="11">
        <v>9</v>
      </c>
      <c r="C32" s="27" t="s">
        <v>44</v>
      </c>
      <c r="D32" s="2">
        <v>20</v>
      </c>
      <c r="E32" s="2">
        <v>50</v>
      </c>
      <c r="F32" s="2">
        <v>30</v>
      </c>
      <c r="G32" s="2">
        <v>0</v>
      </c>
      <c r="H32" s="2">
        <v>0</v>
      </c>
      <c r="I32" s="2">
        <v>11</v>
      </c>
      <c r="J32" s="2">
        <v>0</v>
      </c>
      <c r="K32" s="14"/>
    </row>
    <row r="33" spans="2:11" x14ac:dyDescent="0.25">
      <c r="B33" s="11">
        <v>10</v>
      </c>
      <c r="C33" s="27" t="s">
        <v>45</v>
      </c>
      <c r="D33" s="2">
        <v>97</v>
      </c>
      <c r="E33" s="2">
        <v>163</v>
      </c>
      <c r="F33" s="2">
        <v>71</v>
      </c>
      <c r="G33" s="2">
        <v>61</v>
      </c>
      <c r="H33" s="2">
        <v>308</v>
      </c>
      <c r="I33" s="2">
        <v>103</v>
      </c>
      <c r="J33" s="2">
        <v>0</v>
      </c>
      <c r="K33" s="14"/>
    </row>
    <row r="34" spans="2:11" x14ac:dyDescent="0.25">
      <c r="B34" s="11">
        <v>11</v>
      </c>
      <c r="C34" s="27" t="s">
        <v>46</v>
      </c>
      <c r="D34" s="2">
        <v>67</v>
      </c>
      <c r="E34" s="2">
        <v>114</v>
      </c>
      <c r="F34" s="2">
        <v>27</v>
      </c>
      <c r="G34" s="2">
        <v>15</v>
      </c>
      <c r="H34" s="2">
        <v>174</v>
      </c>
      <c r="I34" s="2">
        <v>101</v>
      </c>
      <c r="J34" s="2">
        <v>0</v>
      </c>
      <c r="K34" s="14"/>
    </row>
    <row r="35" spans="2:11" x14ac:dyDescent="0.25">
      <c r="B35" s="11">
        <v>12</v>
      </c>
      <c r="C35" s="27" t="s">
        <v>47</v>
      </c>
      <c r="D35" s="2">
        <v>98</v>
      </c>
      <c r="E35" s="2">
        <v>122</v>
      </c>
      <c r="F35" s="2">
        <v>48</v>
      </c>
      <c r="G35" s="2">
        <v>24</v>
      </c>
      <c r="H35" s="2">
        <v>297</v>
      </c>
      <c r="I35" s="2">
        <v>92</v>
      </c>
      <c r="J35" s="2">
        <v>0</v>
      </c>
      <c r="K35" s="14"/>
    </row>
    <row r="36" spans="2:11" x14ac:dyDescent="0.25">
      <c r="B36" s="11">
        <v>13</v>
      </c>
      <c r="C36" s="27" t="s">
        <v>48</v>
      </c>
      <c r="D36" s="2">
        <v>38</v>
      </c>
      <c r="E36" s="2">
        <v>82</v>
      </c>
      <c r="F36" s="2">
        <v>27</v>
      </c>
      <c r="G36" s="2">
        <v>52</v>
      </c>
      <c r="H36" s="2">
        <v>76</v>
      </c>
      <c r="I36" s="2">
        <v>32</v>
      </c>
      <c r="J36" s="2">
        <v>0</v>
      </c>
      <c r="K36" s="14"/>
    </row>
    <row r="37" spans="2:11" x14ac:dyDescent="0.25">
      <c r="B37" s="11">
        <v>14</v>
      </c>
      <c r="C37" s="27" t="s">
        <v>49</v>
      </c>
      <c r="D37" s="2">
        <v>47</v>
      </c>
      <c r="E37" s="2">
        <v>74</v>
      </c>
      <c r="F37" s="2">
        <v>8</v>
      </c>
      <c r="G37" s="2">
        <v>45</v>
      </c>
      <c r="H37" s="2">
        <v>46</v>
      </c>
      <c r="I37" s="2">
        <v>51</v>
      </c>
      <c r="J37" s="2">
        <v>0</v>
      </c>
      <c r="K37" s="14"/>
    </row>
    <row r="38" spans="2:11" x14ac:dyDescent="0.25">
      <c r="B38" s="11">
        <v>15</v>
      </c>
      <c r="C38" s="27" t="s">
        <v>50</v>
      </c>
      <c r="D38" s="2">
        <v>26</v>
      </c>
      <c r="E38" s="2">
        <v>58</v>
      </c>
      <c r="F38" s="2">
        <v>5</v>
      </c>
      <c r="G38" s="2">
        <v>10</v>
      </c>
      <c r="H38" s="2">
        <v>83</v>
      </c>
      <c r="I38" s="2">
        <v>21</v>
      </c>
      <c r="J38" s="2">
        <v>0</v>
      </c>
      <c r="K38" s="14"/>
    </row>
    <row r="39" spans="2:11" x14ac:dyDescent="0.25">
      <c r="B39" s="11">
        <v>16</v>
      </c>
      <c r="C39" s="27" t="s">
        <v>51</v>
      </c>
      <c r="D39" s="2">
        <v>38</v>
      </c>
      <c r="E39" s="2">
        <v>45</v>
      </c>
      <c r="F39" s="2">
        <v>0</v>
      </c>
      <c r="G39" s="2">
        <v>14</v>
      </c>
      <c r="H39" s="2">
        <v>75</v>
      </c>
      <c r="I39" s="2">
        <v>50</v>
      </c>
      <c r="J39" s="2">
        <v>0</v>
      </c>
      <c r="K39" s="14"/>
    </row>
    <row r="40" spans="2:11" x14ac:dyDescent="0.25">
      <c r="B40" s="11">
        <v>17</v>
      </c>
      <c r="C40" s="27" t="s">
        <v>52</v>
      </c>
      <c r="D40" s="2">
        <v>40</v>
      </c>
      <c r="E40" s="2">
        <v>34</v>
      </c>
      <c r="F40" s="2">
        <v>0</v>
      </c>
      <c r="G40" s="2">
        <v>61</v>
      </c>
      <c r="H40" s="2">
        <v>139</v>
      </c>
      <c r="I40" s="2">
        <v>33</v>
      </c>
      <c r="J40" s="2">
        <v>0</v>
      </c>
      <c r="K40" s="14"/>
    </row>
    <row r="41" spans="2:11" x14ac:dyDescent="0.25">
      <c r="B41" s="11">
        <v>18</v>
      </c>
      <c r="C41" s="27" t="s">
        <v>53</v>
      </c>
      <c r="D41" s="2">
        <v>45</v>
      </c>
      <c r="E41" s="2">
        <v>64</v>
      </c>
      <c r="F41" s="2">
        <v>16</v>
      </c>
      <c r="G41" s="2">
        <v>6</v>
      </c>
      <c r="H41" s="2">
        <v>39</v>
      </c>
      <c r="I41" s="2">
        <v>22</v>
      </c>
      <c r="J41" s="2">
        <v>0</v>
      </c>
      <c r="K41" s="14"/>
    </row>
    <row r="42" spans="2:11" x14ac:dyDescent="0.25">
      <c r="B42" s="11">
        <v>19</v>
      </c>
      <c r="C42" s="27" t="s">
        <v>54</v>
      </c>
      <c r="D42" s="2">
        <v>35</v>
      </c>
      <c r="E42" s="2">
        <v>100</v>
      </c>
      <c r="F42" s="2">
        <v>6</v>
      </c>
      <c r="G42" s="2">
        <v>13</v>
      </c>
      <c r="H42" s="2">
        <v>139</v>
      </c>
      <c r="I42" s="2">
        <v>20</v>
      </c>
      <c r="J42" s="2">
        <v>0</v>
      </c>
      <c r="K42" s="14"/>
    </row>
    <row r="43" spans="2:11" x14ac:dyDescent="0.25">
      <c r="B43" s="11">
        <v>20</v>
      </c>
      <c r="C43" s="27" t="s">
        <v>55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60008</v>
      </c>
      <c r="J43" s="2">
        <v>60008</v>
      </c>
      <c r="K43" s="14"/>
    </row>
    <row r="44" spans="2:11" x14ac:dyDescent="0.25">
      <c r="B44" s="11"/>
      <c r="C44" s="27" t="s">
        <v>56</v>
      </c>
      <c r="D44" s="50">
        <f t="shared" ref="D44:J44" si="0">SUM(D24:D43)</f>
        <v>1078</v>
      </c>
      <c r="E44" s="50">
        <f t="shared" si="0"/>
        <v>2015</v>
      </c>
      <c r="F44" s="50">
        <f t="shared" si="0"/>
        <v>761</v>
      </c>
      <c r="G44" s="50">
        <f t="shared" si="0"/>
        <v>426</v>
      </c>
      <c r="H44" s="50">
        <f t="shared" si="0"/>
        <v>1983</v>
      </c>
      <c r="I44" s="50">
        <f t="shared" si="0"/>
        <v>61337</v>
      </c>
      <c r="J44" s="50">
        <f t="shared" si="0"/>
        <v>60008</v>
      </c>
      <c r="K44" s="14"/>
    </row>
    <row r="45" spans="2:11" x14ac:dyDescent="0.25">
      <c r="B45" s="11"/>
      <c r="C45" s="12"/>
      <c r="D45" s="28"/>
      <c r="E45" s="28"/>
      <c r="F45" s="28"/>
      <c r="G45" s="12"/>
      <c r="H45" s="13"/>
      <c r="I45" s="13"/>
      <c r="J45" s="29"/>
      <c r="K45" s="14"/>
    </row>
    <row r="46" spans="2:11" x14ac:dyDescent="0.25">
      <c r="B46" s="7">
        <v>5</v>
      </c>
      <c r="C46" s="30" t="s">
        <v>57</v>
      </c>
      <c r="D46" s="31" t="s">
        <v>58</v>
      </c>
      <c r="E46" s="32" t="s">
        <v>59</v>
      </c>
      <c r="F46" s="33" t="s">
        <v>60</v>
      </c>
      <c r="G46" s="34" t="s">
        <v>2</v>
      </c>
      <c r="H46" s="13"/>
      <c r="I46" s="13"/>
      <c r="J46" s="13"/>
      <c r="K46" s="14"/>
    </row>
    <row r="47" spans="2:11" x14ac:dyDescent="0.25">
      <c r="B47" s="11"/>
      <c r="C47" s="12"/>
      <c r="D47" s="35" t="s">
        <v>61</v>
      </c>
      <c r="E47" s="51">
        <v>0</v>
      </c>
      <c r="F47" s="51">
        <v>40</v>
      </c>
      <c r="G47" s="51">
        <v>0</v>
      </c>
      <c r="H47" s="13" t="s">
        <v>62</v>
      </c>
      <c r="I47" s="13"/>
      <c r="J47" s="13"/>
      <c r="K47" s="14"/>
    </row>
    <row r="48" spans="2:11" x14ac:dyDescent="0.25">
      <c r="B48" s="11"/>
      <c r="C48" s="12"/>
      <c r="D48" s="35" t="s">
        <v>63</v>
      </c>
      <c r="E48" s="51">
        <v>5</v>
      </c>
      <c r="F48" s="51">
        <v>40</v>
      </c>
      <c r="G48" s="51">
        <v>200</v>
      </c>
      <c r="H48" s="13"/>
      <c r="I48" s="13"/>
      <c r="J48" s="13"/>
      <c r="K48" s="14"/>
    </row>
    <row r="49" spans="2:11" x14ac:dyDescent="0.25">
      <c r="B49" s="11"/>
      <c r="C49" s="12"/>
      <c r="D49" s="35" t="s">
        <v>64</v>
      </c>
      <c r="E49" s="51">
        <v>2</v>
      </c>
      <c r="F49" s="51">
        <v>40</v>
      </c>
      <c r="G49" s="51">
        <v>80</v>
      </c>
      <c r="H49" s="13"/>
      <c r="I49" s="13"/>
      <c r="J49" s="13"/>
      <c r="K49" s="14"/>
    </row>
    <row r="50" spans="2:11" x14ac:dyDescent="0.25">
      <c r="B50" s="11"/>
      <c r="C50" s="12"/>
      <c r="D50" s="35" t="s">
        <v>65</v>
      </c>
      <c r="E50" s="51">
        <v>6</v>
      </c>
      <c r="F50" s="51">
        <v>35</v>
      </c>
      <c r="G50" s="51">
        <v>210</v>
      </c>
      <c r="H50" s="13"/>
      <c r="I50" s="13"/>
      <c r="J50" s="13"/>
      <c r="K50" s="14"/>
    </row>
    <row r="51" spans="2:11" x14ac:dyDescent="0.25">
      <c r="B51" s="11"/>
      <c r="C51" s="12"/>
      <c r="D51" s="36" t="s">
        <v>66</v>
      </c>
      <c r="E51" s="53">
        <v>1</v>
      </c>
      <c r="F51" s="53">
        <v>25</v>
      </c>
      <c r="G51" s="51">
        <v>25</v>
      </c>
      <c r="H51" s="13"/>
      <c r="I51" s="13"/>
      <c r="J51" s="13"/>
      <c r="K51" s="14"/>
    </row>
    <row r="52" spans="2:11" x14ac:dyDescent="0.25">
      <c r="B52" s="11"/>
      <c r="C52" s="12"/>
      <c r="D52" s="35" t="s">
        <v>67</v>
      </c>
      <c r="E52" s="51">
        <v>42</v>
      </c>
      <c r="F52" s="51">
        <v>10</v>
      </c>
      <c r="G52" s="51">
        <v>420</v>
      </c>
      <c r="H52" s="13"/>
      <c r="I52" s="13"/>
      <c r="J52" s="13"/>
      <c r="K52" s="14"/>
    </row>
    <row r="53" spans="2:11" x14ac:dyDescent="0.25">
      <c r="B53" s="11"/>
      <c r="C53" s="12"/>
      <c r="D53" s="35" t="s">
        <v>68</v>
      </c>
      <c r="E53" s="51">
        <v>10</v>
      </c>
      <c r="F53" s="51">
        <v>12</v>
      </c>
      <c r="G53" s="51">
        <v>120</v>
      </c>
      <c r="H53" s="13"/>
      <c r="I53" s="13"/>
      <c r="J53" s="13"/>
      <c r="K53" s="14"/>
    </row>
    <row r="54" spans="2:11" x14ac:dyDescent="0.25">
      <c r="B54" s="11"/>
      <c r="C54" s="12"/>
      <c r="D54" s="35" t="s">
        <v>28</v>
      </c>
      <c r="E54" s="51">
        <v>149</v>
      </c>
      <c r="F54" s="51">
        <v>8</v>
      </c>
      <c r="G54" s="51">
        <v>1192</v>
      </c>
      <c r="H54" s="13"/>
      <c r="I54" s="13"/>
      <c r="J54" s="13"/>
      <c r="K54" s="14"/>
    </row>
    <row r="55" spans="2:11" x14ac:dyDescent="0.25">
      <c r="B55" s="11"/>
      <c r="C55" s="12"/>
      <c r="D55" s="35" t="s">
        <v>69</v>
      </c>
      <c r="E55" s="51">
        <v>0</v>
      </c>
      <c r="F55" s="51">
        <v>16</v>
      </c>
      <c r="G55" s="51">
        <v>0</v>
      </c>
      <c r="H55" s="13"/>
      <c r="I55" s="13"/>
      <c r="J55" s="13"/>
      <c r="K55" s="14"/>
    </row>
    <row r="56" spans="2:11" x14ac:dyDescent="0.25">
      <c r="B56" s="11"/>
      <c r="C56" s="12"/>
      <c r="D56" s="35" t="s">
        <v>35</v>
      </c>
      <c r="E56" s="51">
        <v>4</v>
      </c>
      <c r="F56" s="51">
        <v>3</v>
      </c>
      <c r="G56" s="51">
        <v>12</v>
      </c>
      <c r="H56" s="13"/>
      <c r="I56" s="13"/>
      <c r="J56" s="13"/>
      <c r="K56" s="14"/>
    </row>
    <row r="57" spans="2:11" x14ac:dyDescent="0.25">
      <c r="B57" s="11"/>
      <c r="C57" s="12"/>
      <c r="D57" s="66" t="s">
        <v>2</v>
      </c>
      <c r="E57" s="67"/>
      <c r="F57" s="68"/>
      <c r="G57" s="37">
        <f>SUM(G47:G56)</f>
        <v>2259</v>
      </c>
      <c r="H57" s="13"/>
      <c r="I57" s="13"/>
      <c r="J57" s="13"/>
      <c r="K57" s="14"/>
    </row>
    <row r="58" spans="2:11" x14ac:dyDescent="0.25">
      <c r="B58" s="11"/>
      <c r="C58" s="12"/>
      <c r="D58" s="38"/>
      <c r="E58" s="12"/>
      <c r="F58" s="3"/>
      <c r="G58" s="39"/>
      <c r="H58" s="13"/>
      <c r="I58" s="13"/>
      <c r="J58" s="13"/>
      <c r="K58" s="14"/>
    </row>
    <row r="59" spans="2:11" x14ac:dyDescent="0.25">
      <c r="B59" s="11"/>
      <c r="C59" s="12"/>
      <c r="D59" s="40"/>
      <c r="E59" s="12"/>
      <c r="F59" s="12"/>
      <c r="G59" s="41"/>
      <c r="H59" s="25"/>
      <c r="I59" s="13"/>
      <c r="J59" s="13"/>
      <c r="K59" s="14"/>
    </row>
    <row r="60" spans="2:11" x14ac:dyDescent="0.25">
      <c r="B60" s="7">
        <v>6</v>
      </c>
      <c r="C60" s="30" t="s">
        <v>70</v>
      </c>
      <c r="D60" s="42" t="s">
        <v>71</v>
      </c>
      <c r="E60" s="42" t="s">
        <v>72</v>
      </c>
      <c r="F60" s="42" t="s">
        <v>73</v>
      </c>
      <c r="G60" s="42" t="s">
        <v>74</v>
      </c>
      <c r="H60" s="42" t="s">
        <v>75</v>
      </c>
      <c r="I60" s="13"/>
      <c r="J60" s="13"/>
      <c r="K60" s="14"/>
    </row>
    <row r="61" spans="2:11" x14ac:dyDescent="0.25">
      <c r="B61" s="11"/>
      <c r="C61" s="12" t="s">
        <v>76</v>
      </c>
      <c r="D61" s="2"/>
      <c r="E61" s="2"/>
      <c r="F61" s="2"/>
      <c r="G61" s="2"/>
      <c r="H61" s="43"/>
      <c r="I61" s="13"/>
      <c r="J61" s="13"/>
      <c r="K61" s="14"/>
    </row>
    <row r="62" spans="2:11" x14ac:dyDescent="0.25">
      <c r="B62" s="11">
        <v>1</v>
      </c>
      <c r="C62" s="44" t="s">
        <v>77</v>
      </c>
      <c r="D62" s="44">
        <v>0</v>
      </c>
      <c r="E62" s="44">
        <v>0</v>
      </c>
      <c r="F62" s="44">
        <v>0</v>
      </c>
      <c r="G62" s="44">
        <v>0</v>
      </c>
      <c r="H62" s="44">
        <v>0</v>
      </c>
      <c r="I62" s="13"/>
      <c r="J62" s="13"/>
      <c r="K62" s="14"/>
    </row>
    <row r="63" spans="2:11" x14ac:dyDescent="0.25">
      <c r="B63" s="11">
        <v>2</v>
      </c>
      <c r="C63" s="45" t="s">
        <v>78</v>
      </c>
      <c r="D63" s="44">
        <v>0</v>
      </c>
      <c r="E63" s="44">
        <v>90</v>
      </c>
      <c r="F63" s="44">
        <v>25</v>
      </c>
      <c r="G63" s="44">
        <v>0</v>
      </c>
      <c r="H63" s="44">
        <v>115</v>
      </c>
      <c r="I63" s="13"/>
      <c r="J63" s="13"/>
      <c r="K63" s="14"/>
    </row>
    <row r="64" spans="2:11" x14ac:dyDescent="0.25">
      <c r="B64" s="11">
        <v>3</v>
      </c>
      <c r="C64" s="45" t="s">
        <v>79</v>
      </c>
      <c r="D64" s="44">
        <v>0</v>
      </c>
      <c r="E64" s="44">
        <v>26</v>
      </c>
      <c r="F64" s="44">
        <v>57</v>
      </c>
      <c r="G64" s="44">
        <v>0</v>
      </c>
      <c r="H64" s="44">
        <v>83</v>
      </c>
      <c r="I64" s="13"/>
      <c r="J64" s="13"/>
      <c r="K64" s="14"/>
    </row>
    <row r="65" spans="2:11" x14ac:dyDescent="0.25">
      <c r="B65" s="11">
        <v>4</v>
      </c>
      <c r="C65" s="45" t="s">
        <v>80</v>
      </c>
      <c r="D65" s="44">
        <v>0</v>
      </c>
      <c r="E65" s="44">
        <v>0</v>
      </c>
      <c r="F65" s="44">
        <v>21</v>
      </c>
      <c r="G65" s="44">
        <v>0</v>
      </c>
      <c r="H65" s="44">
        <v>21</v>
      </c>
      <c r="I65" s="13"/>
      <c r="J65" s="13"/>
      <c r="K65" s="14"/>
    </row>
    <row r="66" spans="2:11" x14ac:dyDescent="0.25">
      <c r="B66" s="11">
        <v>5</v>
      </c>
      <c r="C66" s="45" t="s">
        <v>81</v>
      </c>
      <c r="D66" s="44">
        <v>0</v>
      </c>
      <c r="E66" s="44">
        <v>55</v>
      </c>
      <c r="F66" s="44">
        <v>83</v>
      </c>
      <c r="G66" s="44">
        <v>0</v>
      </c>
      <c r="H66" s="44">
        <v>138</v>
      </c>
      <c r="I66" s="13"/>
      <c r="J66" s="13"/>
      <c r="K66" s="14"/>
    </row>
    <row r="67" spans="2:11" x14ac:dyDescent="0.25">
      <c r="B67" s="11">
        <v>6</v>
      </c>
      <c r="C67" s="45" t="s">
        <v>82</v>
      </c>
      <c r="D67" s="44">
        <v>0</v>
      </c>
      <c r="E67" s="44">
        <v>51</v>
      </c>
      <c r="F67" s="44">
        <v>25</v>
      </c>
      <c r="G67" s="44">
        <v>0</v>
      </c>
      <c r="H67" s="44">
        <v>76</v>
      </c>
      <c r="I67" s="13"/>
      <c r="J67" s="13"/>
      <c r="K67" s="14"/>
    </row>
    <row r="68" spans="2:11" x14ac:dyDescent="0.25">
      <c r="B68" s="11">
        <v>7</v>
      </c>
      <c r="C68" s="45" t="s">
        <v>83</v>
      </c>
      <c r="D68" s="44">
        <v>56</v>
      </c>
      <c r="E68" s="44">
        <v>0</v>
      </c>
      <c r="F68" s="44">
        <v>36</v>
      </c>
      <c r="G68" s="44">
        <v>0</v>
      </c>
      <c r="H68" s="44">
        <v>92</v>
      </c>
      <c r="I68" s="13"/>
      <c r="J68" s="13"/>
      <c r="K68" s="14"/>
    </row>
    <row r="69" spans="2:11" x14ac:dyDescent="0.25">
      <c r="B69" s="11">
        <v>8</v>
      </c>
      <c r="C69" s="45" t="s">
        <v>84</v>
      </c>
      <c r="D69" s="44">
        <v>39</v>
      </c>
      <c r="E69" s="44">
        <v>0</v>
      </c>
      <c r="F69" s="44">
        <v>33</v>
      </c>
      <c r="G69" s="44">
        <v>4</v>
      </c>
      <c r="H69" s="44">
        <v>76</v>
      </c>
      <c r="I69" s="13"/>
      <c r="J69" s="13"/>
      <c r="K69" s="14"/>
    </row>
    <row r="70" spans="2:11" x14ac:dyDescent="0.25">
      <c r="B70" s="11">
        <v>9</v>
      </c>
      <c r="C70" s="45" t="s">
        <v>85</v>
      </c>
      <c r="D70" s="44">
        <v>0</v>
      </c>
      <c r="E70" s="44">
        <v>54</v>
      </c>
      <c r="F70" s="44">
        <v>33</v>
      </c>
      <c r="G70" s="44">
        <v>10</v>
      </c>
      <c r="H70" s="44">
        <v>97</v>
      </c>
      <c r="I70" s="13"/>
      <c r="J70" s="13"/>
      <c r="K70" s="14"/>
    </row>
    <row r="71" spans="2:11" x14ac:dyDescent="0.25">
      <c r="B71" s="11">
        <v>10</v>
      </c>
      <c r="C71" s="45" t="s">
        <v>86</v>
      </c>
      <c r="D71" s="44">
        <v>0</v>
      </c>
      <c r="E71" s="44">
        <v>64</v>
      </c>
      <c r="F71" s="44">
        <v>19</v>
      </c>
      <c r="G71" s="44">
        <v>0</v>
      </c>
      <c r="H71" s="44">
        <v>83</v>
      </c>
      <c r="I71" s="13"/>
      <c r="J71" s="13"/>
      <c r="K71" s="14"/>
    </row>
    <row r="72" spans="2:11" x14ac:dyDescent="0.25">
      <c r="B72" s="11">
        <v>11</v>
      </c>
      <c r="C72" s="45" t="s">
        <v>87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13"/>
      <c r="J72" s="13"/>
      <c r="K72" s="14"/>
    </row>
    <row r="73" spans="2:11" x14ac:dyDescent="0.25">
      <c r="B73" s="11">
        <v>12</v>
      </c>
      <c r="C73" s="45" t="s">
        <v>88</v>
      </c>
      <c r="D73" s="44">
        <v>0</v>
      </c>
      <c r="E73" s="44">
        <v>0</v>
      </c>
      <c r="F73" s="44">
        <v>0</v>
      </c>
      <c r="G73" s="44">
        <v>0</v>
      </c>
      <c r="H73" s="44">
        <v>0</v>
      </c>
      <c r="I73" s="13"/>
      <c r="J73" s="13"/>
      <c r="K73" s="14"/>
    </row>
    <row r="74" spans="2:11" x14ac:dyDescent="0.25">
      <c r="B74" s="11">
        <v>13</v>
      </c>
      <c r="C74" s="45" t="s">
        <v>89</v>
      </c>
      <c r="D74" s="44">
        <v>0</v>
      </c>
      <c r="E74" s="44">
        <v>0</v>
      </c>
      <c r="F74" s="44">
        <v>0</v>
      </c>
      <c r="G74" s="44">
        <v>0</v>
      </c>
      <c r="H74" s="44">
        <v>0</v>
      </c>
      <c r="I74" s="13"/>
      <c r="J74" s="13"/>
      <c r="K74" s="14"/>
    </row>
    <row r="75" spans="2:11" x14ac:dyDescent="0.25">
      <c r="B75" s="11">
        <v>14</v>
      </c>
      <c r="C75" s="45" t="s">
        <v>90</v>
      </c>
      <c r="D75" s="44">
        <v>0</v>
      </c>
      <c r="E75" s="44">
        <v>0</v>
      </c>
      <c r="F75" s="44">
        <v>0</v>
      </c>
      <c r="G75" s="44">
        <v>0</v>
      </c>
      <c r="H75" s="44">
        <v>0</v>
      </c>
      <c r="I75" s="13"/>
      <c r="J75" s="13"/>
      <c r="K75" s="14"/>
    </row>
    <row r="76" spans="2:11" x14ac:dyDescent="0.25">
      <c r="B76" s="11">
        <v>15</v>
      </c>
      <c r="C76" s="45" t="s">
        <v>91</v>
      </c>
      <c r="D76" s="44">
        <v>0</v>
      </c>
      <c r="E76" s="44">
        <v>0</v>
      </c>
      <c r="F76" s="44">
        <v>0</v>
      </c>
      <c r="G76" s="44">
        <v>0</v>
      </c>
      <c r="H76" s="44">
        <v>0</v>
      </c>
      <c r="I76" s="13"/>
      <c r="J76" s="13"/>
      <c r="K76" s="14"/>
    </row>
    <row r="77" spans="2:11" x14ac:dyDescent="0.25">
      <c r="B77" s="11">
        <v>16</v>
      </c>
      <c r="C77" s="45" t="s">
        <v>92</v>
      </c>
      <c r="D77" s="44">
        <v>33</v>
      </c>
      <c r="E77" s="44">
        <v>0</v>
      </c>
      <c r="F77" s="44">
        <v>0</v>
      </c>
      <c r="G77" s="44">
        <v>8</v>
      </c>
      <c r="H77" s="44">
        <v>41</v>
      </c>
      <c r="I77" s="13"/>
      <c r="J77" s="13"/>
      <c r="K77" s="14"/>
    </row>
    <row r="78" spans="2:11" ht="16.5" thickBot="1" x14ac:dyDescent="0.3">
      <c r="B78" s="11"/>
      <c r="C78" s="46"/>
      <c r="D78" s="49"/>
      <c r="E78" s="49"/>
      <c r="F78" s="49"/>
      <c r="G78" s="48" t="s">
        <v>93</v>
      </c>
      <c r="H78" s="47">
        <f>SUM(H61:H77)</f>
        <v>822</v>
      </c>
      <c r="I78" s="13"/>
      <c r="J78" s="13"/>
      <c r="K78" s="14"/>
    </row>
    <row r="79" spans="2:11" x14ac:dyDescent="0.25">
      <c r="B79" s="69">
        <v>7</v>
      </c>
      <c r="C79" s="71" t="s">
        <v>7</v>
      </c>
      <c r="D79" s="74"/>
      <c r="E79" s="75"/>
      <c r="F79" s="75"/>
      <c r="G79" s="75"/>
      <c r="H79" s="75"/>
      <c r="I79" s="75"/>
      <c r="J79" s="75"/>
      <c r="K79" s="76"/>
    </row>
    <row r="80" spans="2:11" x14ac:dyDescent="0.25">
      <c r="B80" s="69"/>
      <c r="C80" s="72"/>
      <c r="D80" s="77"/>
      <c r="E80" s="78"/>
      <c r="F80" s="78"/>
      <c r="G80" s="78"/>
      <c r="H80" s="78"/>
      <c r="I80" s="78"/>
      <c r="J80" s="78"/>
      <c r="K80" s="79"/>
    </row>
    <row r="81" spans="2:11" x14ac:dyDescent="0.25">
      <c r="B81" s="69"/>
      <c r="C81" s="72"/>
      <c r="D81" s="77"/>
      <c r="E81" s="78"/>
      <c r="F81" s="78"/>
      <c r="G81" s="78"/>
      <c r="H81" s="78"/>
      <c r="I81" s="78"/>
      <c r="J81" s="78"/>
      <c r="K81" s="79"/>
    </row>
    <row r="82" spans="2:11" x14ac:dyDescent="0.25">
      <c r="B82" s="69"/>
      <c r="C82" s="72"/>
      <c r="D82" s="80"/>
      <c r="E82" s="81"/>
      <c r="F82" s="81"/>
      <c r="G82" s="81"/>
      <c r="H82" s="81"/>
      <c r="I82" s="81"/>
      <c r="J82" s="81"/>
      <c r="K82" s="82"/>
    </row>
    <row r="83" spans="2:11" x14ac:dyDescent="0.25">
      <c r="B83" s="69"/>
      <c r="C83" s="72"/>
      <c r="D83" s="83"/>
      <c r="E83" s="84"/>
      <c r="F83" s="84"/>
      <c r="G83" s="84"/>
      <c r="H83" s="84"/>
      <c r="I83" s="84"/>
      <c r="J83" s="84"/>
      <c r="K83" s="85"/>
    </row>
    <row r="84" spans="2:11" x14ac:dyDescent="0.25">
      <c r="B84" s="69"/>
      <c r="C84" s="72"/>
      <c r="D84" s="86"/>
      <c r="E84" s="87"/>
      <c r="F84" s="87"/>
      <c r="G84" s="87"/>
      <c r="H84" s="87"/>
      <c r="I84" s="87"/>
      <c r="J84" s="87"/>
      <c r="K84" s="88"/>
    </row>
    <row r="85" spans="2:11" x14ac:dyDescent="0.25">
      <c r="B85" s="69"/>
      <c r="C85" s="72"/>
      <c r="D85" s="54"/>
      <c r="E85" s="55"/>
      <c r="F85" s="55"/>
      <c r="G85" s="55"/>
      <c r="H85" s="55"/>
      <c r="I85" s="55"/>
      <c r="J85" s="55"/>
      <c r="K85" s="56"/>
    </row>
    <row r="86" spans="2:11" x14ac:dyDescent="0.25">
      <c r="B86" s="69"/>
      <c r="C86" s="72"/>
      <c r="D86" s="54"/>
      <c r="E86" s="55"/>
      <c r="F86" s="55"/>
      <c r="G86" s="55"/>
      <c r="H86" s="55"/>
      <c r="I86" s="55"/>
      <c r="J86" s="55"/>
      <c r="K86" s="56"/>
    </row>
    <row r="87" spans="2:11" ht="16.5" thickBot="1" x14ac:dyDescent="0.3">
      <c r="B87" s="70"/>
      <c r="C87" s="73"/>
      <c r="D87" s="57"/>
      <c r="E87" s="58"/>
      <c r="F87" s="58"/>
      <c r="G87" s="58"/>
      <c r="H87" s="58"/>
      <c r="I87" s="58"/>
      <c r="J87" s="58"/>
      <c r="K87" s="59"/>
    </row>
  </sheetData>
  <mergeCells count="14">
    <mergeCell ref="D85:K85"/>
    <mergeCell ref="D86:K86"/>
    <mergeCell ref="D87:K87"/>
    <mergeCell ref="B2:K2"/>
    <mergeCell ref="C3:K3"/>
    <mergeCell ref="D57:F57"/>
    <mergeCell ref="B79:B87"/>
    <mergeCell ref="C79:C87"/>
    <mergeCell ref="D79:K79"/>
    <mergeCell ref="D80:K80"/>
    <mergeCell ref="D81:K81"/>
    <mergeCell ref="D82:K82"/>
    <mergeCell ref="D83:K83"/>
    <mergeCell ref="D84:K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F&amp;B 23.09.2025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Srinivasa Rao</dc:creator>
  <cp:lastModifiedBy>Anurag Patel</cp:lastModifiedBy>
  <dcterms:created xsi:type="dcterms:W3CDTF">2025-05-17T04:31:33Z</dcterms:created>
  <dcterms:modified xsi:type="dcterms:W3CDTF">2026-05-18T06:25:09Z</dcterms:modified>
</cp:coreProperties>
</file>