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39B4FE9C-6D29-4F8E-AA1C-B2CC90812AE5}" xr6:coauthVersionLast="47" xr6:coauthVersionMax="47" xr10:uidLastSave="{00000000-0000-0000-0000-000000000000}"/>
  <bookViews>
    <workbookView xWindow="-120" yWindow="-120" windowWidth="29040" windowHeight="16440" xr2:uid="{363EC6AC-C92F-4F61-BA2E-93029723C8A0}"/>
  </bookViews>
  <sheets>
    <sheet name="Township Maintenancwe23.09.2025" sheetId="9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90" l="1"/>
  <c r="E5" i="90"/>
  <c r="F5" i="90" s="1"/>
  <c r="G5" i="90"/>
  <c r="G9" i="90" s="1"/>
  <c r="F7" i="90"/>
  <c r="E8" i="90"/>
  <c r="F8" i="90" s="1"/>
  <c r="C9" i="90"/>
  <c r="E9" i="90"/>
  <c r="F11" i="90"/>
  <c r="F13" i="90"/>
  <c r="F9" i="90" l="1"/>
</calcChain>
</file>

<file path=xl/sharedStrings.xml><?xml version="1.0" encoding="utf-8"?>
<sst xmlns="http://schemas.openxmlformats.org/spreadsheetml/2006/main" count="223" uniqueCount="154">
  <si>
    <t>Actual</t>
  </si>
  <si>
    <t>Present</t>
  </si>
  <si>
    <t xml:space="preserve">Total no. of On Roll Employees </t>
  </si>
  <si>
    <t xml:space="preserve">Total no. of On Associate Employees </t>
  </si>
  <si>
    <t>JBC</t>
  </si>
  <si>
    <t xml:space="preserve">Any Other Activity </t>
  </si>
  <si>
    <t xml:space="preserve">Details </t>
  </si>
  <si>
    <t>(i)</t>
  </si>
  <si>
    <t>(ii)</t>
  </si>
  <si>
    <t>(iii)</t>
  </si>
  <si>
    <t>JBN</t>
  </si>
  <si>
    <t>Sl. No.</t>
  </si>
  <si>
    <t>OFF / Leave / Absent</t>
  </si>
  <si>
    <t>Approve GT</t>
  </si>
  <si>
    <t>MBC</t>
  </si>
  <si>
    <t>As per PO</t>
  </si>
  <si>
    <t>Maa Sarala</t>
  </si>
  <si>
    <t xml:space="preserve">Total no. of On Roll and  out Sourced Employees </t>
  </si>
  <si>
    <t>AMC</t>
  </si>
  <si>
    <t>Global Elevator (Phase - II)</t>
  </si>
  <si>
    <t>PO No.</t>
  </si>
  <si>
    <t>Work Description</t>
  </si>
  <si>
    <t>PO (Qty)</t>
  </si>
  <si>
    <t>Previous Cumulative Qty.</t>
  </si>
  <si>
    <t>Today Achieved Qty.</t>
  </si>
  <si>
    <t>Pappi Devi</t>
  </si>
  <si>
    <t>Interior Wall Paint</t>
  </si>
  <si>
    <r>
      <t>5000 M</t>
    </r>
    <r>
      <rPr>
        <vertAlign val="superscript"/>
        <sz val="11"/>
        <color rgb="FF000000"/>
        <rFont val="Aptos Narrow"/>
        <family val="2"/>
      </rPr>
      <t>2</t>
    </r>
  </si>
  <si>
    <t>Exterior Wall Paint</t>
  </si>
  <si>
    <r>
      <t>500  M</t>
    </r>
    <r>
      <rPr>
        <vertAlign val="superscript"/>
        <sz val="11"/>
        <color rgb="FF000000"/>
        <rFont val="Aptos Narrow"/>
        <family val="2"/>
      </rPr>
      <t>2</t>
    </r>
  </si>
  <si>
    <t>Wall Putty</t>
  </si>
  <si>
    <t>Manoj Enterprises</t>
  </si>
  <si>
    <r>
      <t>5000  M</t>
    </r>
    <r>
      <rPr>
        <vertAlign val="superscript"/>
        <sz val="11"/>
        <color rgb="FF000000"/>
        <rFont val="Aptos Narrow"/>
        <family val="2"/>
      </rPr>
      <t>2</t>
    </r>
  </si>
  <si>
    <t>Real Waterproofing System</t>
  </si>
  <si>
    <t>Pu Pressure Grouting And 0-10 Points At single Place</t>
  </si>
  <si>
    <t>1000 EA</t>
  </si>
  <si>
    <t>Cementitious Waterproofing</t>
  </si>
  <si>
    <r>
      <t>200 M</t>
    </r>
    <r>
      <rPr>
        <vertAlign val="superscript"/>
        <sz val="11"/>
        <color rgb="FF000000"/>
        <rFont val="Aptos Narrow"/>
        <family val="2"/>
      </rPr>
      <t>2</t>
    </r>
  </si>
  <si>
    <t>Epoxy In Tile Joint Filling</t>
  </si>
  <si>
    <r>
      <t>800 M</t>
    </r>
    <r>
      <rPr>
        <vertAlign val="superscript"/>
        <sz val="11"/>
        <color rgb="FF000000"/>
        <rFont val="Aptos Narrow"/>
        <family val="2"/>
      </rPr>
      <t>2</t>
    </r>
  </si>
  <si>
    <t>Dismantling Work Of Brick Bat Coba Or Screed Concrete  Or Tiles Flooring</t>
  </si>
  <si>
    <r>
      <t>300 M</t>
    </r>
    <r>
      <rPr>
        <vertAlign val="superscript"/>
        <sz val="11"/>
        <color rgb="FF000000"/>
        <rFont val="Aptos Narrow"/>
        <family val="2"/>
      </rPr>
      <t>2</t>
    </r>
  </si>
  <si>
    <t>Non Shrink Grouting</t>
  </si>
  <si>
    <t>50 EA</t>
  </si>
  <si>
    <t>Pu Pressure Grouting And 10-20 Points At Single Place</t>
  </si>
  <si>
    <t>Dr. Fixit Roof seal Classic Waterproofing Coating</t>
  </si>
  <si>
    <r>
      <t>150 M</t>
    </r>
    <r>
      <rPr>
        <vertAlign val="superscript"/>
        <sz val="11"/>
        <color rgb="FF000000"/>
        <rFont val="Aptos Narrow"/>
        <family val="2"/>
      </rPr>
      <t>2</t>
    </r>
  </si>
  <si>
    <t>Total Maintenance Job (My Gate Complain)</t>
  </si>
  <si>
    <t>Job No</t>
  </si>
  <si>
    <t>Complain Received from details</t>
  </si>
  <si>
    <t>Complain Completed Details</t>
  </si>
  <si>
    <t>Pending Details</t>
  </si>
  <si>
    <t>Feedback</t>
  </si>
  <si>
    <t>Civil Work</t>
  </si>
  <si>
    <t>Entrance grill painting work start at M3 building ground floor</t>
  </si>
  <si>
    <t>work in progress</t>
  </si>
  <si>
    <t>Vehicle parking painting near L &amp; M block</t>
  </si>
  <si>
    <t>Work stopped for certain time due to rain</t>
  </si>
  <si>
    <t>N &amp; O Block parking painting</t>
  </si>
  <si>
    <t>E3-701 Putty &amp; painting work</t>
  </si>
  <si>
    <t>Work in progress</t>
  </si>
  <si>
    <t>NEW GET D-914 Putty &amp; painting work</t>
  </si>
  <si>
    <t>A &amp; C Block no parking painting</t>
  </si>
  <si>
    <t xml:space="preserve">D-001 Putty &amp; painting </t>
  </si>
  <si>
    <t>E3-603  Kitchen sink repairing</t>
  </si>
  <si>
    <t>Very Good</t>
  </si>
  <si>
    <t>Total =</t>
  </si>
  <si>
    <t>Plumbing Work</t>
  </si>
  <si>
    <t>Seepage Work</t>
  </si>
  <si>
    <t>E2-701 Balcony ceiling seepage</t>
  </si>
  <si>
    <t>Work will start as soon as possible</t>
  </si>
  <si>
    <t>E2-804 Hall ceiling seepage</t>
  </si>
  <si>
    <t>Work under progress</t>
  </si>
  <si>
    <t>IB Basement floor seepage</t>
  </si>
  <si>
    <t>(iv)</t>
  </si>
  <si>
    <t>Carpentry Work</t>
  </si>
  <si>
    <t>Outstanding</t>
  </si>
  <si>
    <t>(v)</t>
  </si>
  <si>
    <t>Electrical Work</t>
  </si>
  <si>
    <t>very Good</t>
  </si>
  <si>
    <t>Carpentry</t>
  </si>
  <si>
    <t>Civil</t>
  </si>
  <si>
    <t>G-603(Vacant room) Bedroom wall seepage</t>
  </si>
  <si>
    <t>O-601 Bedroom wall seepage</t>
  </si>
  <si>
    <t>C-203(Vacant room) Both bathroom wall tiles fixing</t>
  </si>
  <si>
    <t>Samaleswari Construction</t>
  </si>
  <si>
    <t>NEW GET CF-102(Vacant room) Full flat painting</t>
  </si>
  <si>
    <t>H-604 Putty &amp; painting</t>
  </si>
  <si>
    <t>EH3-72 Kitchen &amp; balcony ceiling seepage</t>
  </si>
  <si>
    <t>M3-501-Maintenance work under progress (Vacant room)</t>
  </si>
  <si>
    <t>J-202 Bedroom wall seepage</t>
  </si>
  <si>
    <t>New Get 11th floor 13 nos room Almirah completed &amp; 01 nos under progress</t>
  </si>
  <si>
    <t>E3-302 Bedroom hall wall seepage</t>
  </si>
  <si>
    <t>M3-604(Vacant room) Full flat painting</t>
  </si>
  <si>
    <t>J-702 Bedroom wall seepage</t>
  </si>
  <si>
    <t>New installed</t>
  </si>
  <si>
    <t>M2-001 Hall wall seepage</t>
  </si>
  <si>
    <t>K-502 Hall wall seepage</t>
  </si>
  <si>
    <t>E1-607 Bedroom ceiling seepage</t>
  </si>
  <si>
    <t>NEDW GET A-406 Bedroom ceiling seepage</t>
  </si>
  <si>
    <t>M2-405 Bathroom ceiling seepage</t>
  </si>
  <si>
    <t>E3-704 Bedroom wall seepage</t>
  </si>
  <si>
    <t>O-704 Bedroom ceiling seepage</t>
  </si>
  <si>
    <t>NEW GET A-234 Bathroom ceiling seepage</t>
  </si>
  <si>
    <t>E2-008 Balcony ceiling seepage</t>
  </si>
  <si>
    <t>NEW GET DF-801 Bathroom ceiling seepage</t>
  </si>
  <si>
    <t>Balcony door repair</t>
  </si>
  <si>
    <t>Kitchen door hinges repair</t>
  </si>
  <si>
    <t>Door repair</t>
  </si>
  <si>
    <t>Shifting of light poles and associated works at Central Ground.</t>
  </si>
  <si>
    <t>E-206--Maintenance work under progress (Vacant room)</t>
  </si>
  <si>
    <t>L-001-Sofa work under progress(Vacant Room)</t>
  </si>
  <si>
    <t>C-203-Maintenance work under progress (Vacant room)</t>
  </si>
  <si>
    <t>Temple curtain stitching work under progress.</t>
  </si>
  <si>
    <t>Light fitting</t>
  </si>
  <si>
    <t xml:space="preserve">Central ground </t>
  </si>
  <si>
    <t>Fan regulator,6A switch, change</t>
  </si>
  <si>
    <t>New get-D-418</t>
  </si>
  <si>
    <t>Bed room supply problem</t>
  </si>
  <si>
    <t>New get-D-508</t>
  </si>
  <si>
    <t>New Almirah lock installed</t>
  </si>
  <si>
    <t>New Get D-1114-Almirah lock issue</t>
  </si>
  <si>
    <t>Utensil stand fixed</t>
  </si>
  <si>
    <t>FU6-604-Utensil stand fixed</t>
  </si>
  <si>
    <t>New Lock installed</t>
  </si>
  <si>
    <t>DF-501-Cupboard lock not working</t>
  </si>
  <si>
    <t>Out Standing</t>
  </si>
  <si>
    <t>CF-305-Kitchen door hinges loose</t>
  </si>
  <si>
    <t>Wire mesh fixed</t>
  </si>
  <si>
    <t>FU7-602-Wire nesh need to be fixed at balcony</t>
  </si>
  <si>
    <t>Door lock repair</t>
  </si>
  <si>
    <t>E1-508-Door lock issue</t>
  </si>
  <si>
    <t>J-604-Bed Room door jam</t>
  </si>
  <si>
    <t>Hange &amp; photo frame fixed</t>
  </si>
  <si>
    <t>M1-501-Hanger &amp; photo frame need to be fixed</t>
  </si>
  <si>
    <t>Kitchen drawer repair</t>
  </si>
  <si>
    <t>M3-202-Kitchen drawer issue</t>
  </si>
  <si>
    <t>Almirah door hinges repair</t>
  </si>
  <si>
    <t>FU5-004-Almirah door hinges loose</t>
  </si>
  <si>
    <t>Main door repair</t>
  </si>
  <si>
    <t>FU7-503-Main door lock issue</t>
  </si>
  <si>
    <t>M1-205-Door jam</t>
  </si>
  <si>
    <t>NEW GET DF-601 Bedroom ceiling seepage</t>
  </si>
  <si>
    <t>NEW GET A-432 Bedroom ceiling seepage</t>
  </si>
  <si>
    <t xml:space="preserve">FU7-104Bathroom ceiling seepage </t>
  </si>
  <si>
    <t>FU1-004 Balcony shaft wall seepage</t>
  </si>
  <si>
    <t>M1-604 Hall wall seepage</t>
  </si>
  <si>
    <t>M1-803 Toilet window site seepage</t>
  </si>
  <si>
    <t>J-302 Master bedroom ceiling seepage</t>
  </si>
  <si>
    <t>E3-601 Kitchen sink cock damage</t>
  </si>
  <si>
    <t>FU1-005 Kitchen sink waste coupling damage</t>
  </si>
  <si>
    <t>Temple lord Vishwakarma stage marble work</t>
  </si>
  <si>
    <t>M/s. Kanha Enterprises</t>
  </si>
  <si>
    <t xml:space="preserve">    Township Maintenance Department - Daily Report                                                                                                                                                                                                              Date : 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</si>
</sst>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\-??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vertAlign val="superscript"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3" fillId="0" borderId="0"/>
    <xf numFmtId="164" fontId="3" fillId="0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24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5" fillId="0" borderId="32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0" xfId="0" applyFont="1"/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16" xfId="0" applyFont="1" applyBorder="1"/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/>
    </xf>
    <xf numFmtId="0" fontId="4" fillId="0" borderId="14" xfId="0" applyFont="1" applyBorder="1"/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/>
    <xf numFmtId="0" fontId="14" fillId="0" borderId="6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8" fillId="0" borderId="6" xfId="0" applyFont="1" applyBorder="1"/>
    <xf numFmtId="0" fontId="8" fillId="0" borderId="16" xfId="0" applyFont="1" applyBorder="1"/>
    <xf numFmtId="0" fontId="0" fillId="0" borderId="0" xfId="0" applyAlignment="1">
      <alignment horizontal="center" vertical="center"/>
    </xf>
    <xf numFmtId="0" fontId="8" fillId="0" borderId="18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43" xfId="0" applyFont="1" applyBorder="1" applyAlignment="1">
      <alignment wrapText="1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left" wrapText="1"/>
    </xf>
    <xf numFmtId="0" fontId="15" fillId="0" borderId="41" xfId="0" applyFont="1" applyBorder="1" applyAlignment="1">
      <alignment horizontal="left"/>
    </xf>
    <xf numFmtId="0" fontId="15" fillId="0" borderId="40" xfId="0" applyFont="1" applyBorder="1" applyAlignment="1">
      <alignment horizontal="left"/>
    </xf>
    <xf numFmtId="0" fontId="11" fillId="0" borderId="37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12">
    <cellStyle name="Comma 2" xfId="3" xr:uid="{43640ABB-179E-41CD-8CE4-90FCDB2F19CB}"/>
    <cellStyle name="Normal" xfId="0" builtinId="0"/>
    <cellStyle name="Normal 2" xfId="1" xr:uid="{FF643B3A-9E5F-48C2-8DAA-FDA8949144F9}"/>
    <cellStyle name="Normal 2 2" xfId="4" xr:uid="{461BAEF7-0429-496F-B73E-CAA7CF1F55C5}"/>
    <cellStyle name="Normal 3" xfId="5" xr:uid="{DFBD4921-4505-4984-AEDF-62B061D7555D}"/>
    <cellStyle name="Normal 4" xfId="6" xr:uid="{8CDF419C-1C79-4DF1-BD64-861D32F08B37}"/>
    <cellStyle name="Normal 5" xfId="7" xr:uid="{E52AD744-AEE8-4100-9025-E435D3481078}"/>
    <cellStyle name="Normal 6" xfId="8" xr:uid="{DEA11A3C-6837-471C-A140-700BAA50917A}"/>
    <cellStyle name="Normal 7" xfId="9" xr:uid="{1F293C02-6975-4EC0-A33D-17F2E7F8BA7F}"/>
    <cellStyle name="Normal 8" xfId="10" xr:uid="{DADAB5BB-626B-43BA-8887-9CF01F087D81}"/>
    <cellStyle name="Normal 9" xfId="2" xr:uid="{7329BF83-7951-4688-B734-4156C94BCE7E}"/>
    <cellStyle name="Normal 9 2" xfId="11" xr:uid="{4D1867B2-118C-4962-B9D9-B5F4DD569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7CFE-E4D1-43A5-BB9C-853338B62DE4}">
  <dimension ref="A1:G100"/>
  <sheetViews>
    <sheetView tabSelected="1" topLeftCell="A38" zoomScale="130" zoomScaleNormal="130" workbookViewId="0">
      <selection activeCell="C9" sqref="C9:D9"/>
    </sheetView>
  </sheetViews>
  <sheetFormatPr defaultRowHeight="15" x14ac:dyDescent="0.25"/>
  <cols>
    <col min="1" max="1" width="8.28515625" style="67" customWidth="1"/>
    <col min="2" max="2" width="39.5703125" style="7" customWidth="1"/>
    <col min="3" max="3" width="12.42578125" style="7" customWidth="1"/>
    <col min="4" max="4" width="54.85546875" style="7" bestFit="1" customWidth="1"/>
    <col min="5" max="5" width="35.28515625" style="67" bestFit="1" customWidth="1"/>
    <col min="6" max="6" width="33.42578125" customWidth="1"/>
    <col min="7" max="7" width="12.42578125" bestFit="1" customWidth="1"/>
  </cols>
  <sheetData>
    <row r="1" spans="1:7" ht="19.5" thickBot="1" x14ac:dyDescent="0.35">
      <c r="A1" s="71" t="s">
        <v>153</v>
      </c>
      <c r="B1" s="72"/>
      <c r="C1" s="72"/>
      <c r="D1" s="72"/>
      <c r="E1" s="72"/>
      <c r="F1" s="72"/>
      <c r="G1" s="72"/>
    </row>
    <row r="2" spans="1:7" ht="21" x14ac:dyDescent="0.35">
      <c r="A2" s="8" t="s">
        <v>11</v>
      </c>
      <c r="B2" s="73" t="s">
        <v>6</v>
      </c>
      <c r="C2" s="74"/>
      <c r="D2" s="74"/>
      <c r="E2" s="74"/>
      <c r="F2" s="74"/>
      <c r="G2" s="75"/>
    </row>
    <row r="3" spans="1:7" ht="15.75" x14ac:dyDescent="0.25">
      <c r="A3" s="9"/>
      <c r="B3" s="10"/>
      <c r="C3" s="76" t="s">
        <v>0</v>
      </c>
      <c r="D3" s="77"/>
      <c r="E3" s="11" t="s">
        <v>1</v>
      </c>
      <c r="F3" s="10" t="s">
        <v>12</v>
      </c>
      <c r="G3" s="12" t="s">
        <v>13</v>
      </c>
    </row>
    <row r="4" spans="1:7" x14ac:dyDescent="0.25">
      <c r="A4" s="13">
        <v>1</v>
      </c>
      <c r="B4" s="14" t="s">
        <v>2</v>
      </c>
      <c r="C4" s="78">
        <v>14</v>
      </c>
      <c r="D4" s="79"/>
      <c r="E4" s="15">
        <v>11</v>
      </c>
      <c r="F4" s="1">
        <f>+C4-E4</f>
        <v>3</v>
      </c>
      <c r="G4" s="16">
        <v>11</v>
      </c>
    </row>
    <row r="5" spans="1:7" ht="15.75" thickBot="1" x14ac:dyDescent="0.3">
      <c r="A5" s="13">
        <v>2</v>
      </c>
      <c r="B5" s="14" t="s">
        <v>3</v>
      </c>
      <c r="C5" s="78">
        <v>51</v>
      </c>
      <c r="D5" s="79"/>
      <c r="E5" s="15">
        <f>12+29</f>
        <v>41</v>
      </c>
      <c r="F5" s="1">
        <f>+C5-E5</f>
        <v>10</v>
      </c>
      <c r="G5" s="80">
        <f>98-11</f>
        <v>87</v>
      </c>
    </row>
    <row r="6" spans="1:7" ht="18.75" x14ac:dyDescent="0.25">
      <c r="A6" s="17">
        <v>3</v>
      </c>
      <c r="B6" s="18" t="s">
        <v>14</v>
      </c>
      <c r="C6" s="82" t="s">
        <v>15</v>
      </c>
      <c r="D6" s="83"/>
      <c r="E6" s="19" t="s">
        <v>1</v>
      </c>
      <c r="F6" s="20" t="s">
        <v>12</v>
      </c>
      <c r="G6" s="81"/>
    </row>
    <row r="7" spans="1:7" x14ac:dyDescent="0.25">
      <c r="A7" s="21" t="s">
        <v>7</v>
      </c>
      <c r="B7" s="2" t="s">
        <v>152</v>
      </c>
      <c r="C7" s="78">
        <v>11</v>
      </c>
      <c r="D7" s="79"/>
      <c r="E7" s="15">
        <v>11</v>
      </c>
      <c r="F7" s="1">
        <f>+C7-E7</f>
        <v>0</v>
      </c>
      <c r="G7" s="81"/>
    </row>
    <row r="8" spans="1:7" ht="15.75" thickBot="1" x14ac:dyDescent="0.3">
      <c r="A8" s="21" t="s">
        <v>8</v>
      </c>
      <c r="B8" s="2" t="s">
        <v>16</v>
      </c>
      <c r="C8" s="78">
        <v>17</v>
      </c>
      <c r="D8" s="79"/>
      <c r="E8" s="15">
        <f>13+2</f>
        <v>15</v>
      </c>
      <c r="F8" s="1">
        <f>+C8-E8</f>
        <v>2</v>
      </c>
      <c r="G8" s="81"/>
    </row>
    <row r="9" spans="1:7" ht="19.5" thickBot="1" x14ac:dyDescent="0.3">
      <c r="A9" s="22"/>
      <c r="B9" s="23" t="s">
        <v>17</v>
      </c>
      <c r="C9" s="84">
        <f>SUM(C4:D8)</f>
        <v>93</v>
      </c>
      <c r="D9" s="85"/>
      <c r="E9" s="24">
        <f>SUM(E4:E8)</f>
        <v>78</v>
      </c>
      <c r="F9" s="24">
        <f>SUM(F4:F8)</f>
        <v>15</v>
      </c>
      <c r="G9" s="25">
        <f>SUM(G4:G8)</f>
        <v>98</v>
      </c>
    </row>
    <row r="10" spans="1:7" ht="18.75" x14ac:dyDescent="0.25">
      <c r="A10" s="17">
        <v>4</v>
      </c>
      <c r="B10" s="18" t="s">
        <v>10</v>
      </c>
      <c r="C10" s="86"/>
      <c r="D10" s="87"/>
      <c r="E10" s="26"/>
      <c r="F10" s="27"/>
      <c r="G10" s="88"/>
    </row>
    <row r="11" spans="1:7" ht="15.75" thickBot="1" x14ac:dyDescent="0.3">
      <c r="A11" s="21" t="s">
        <v>7</v>
      </c>
      <c r="B11" s="2" t="s">
        <v>85</v>
      </c>
      <c r="C11" s="78">
        <v>15</v>
      </c>
      <c r="D11" s="79"/>
      <c r="E11" s="15">
        <v>13</v>
      </c>
      <c r="F11" s="1">
        <f>+C11-E11</f>
        <v>2</v>
      </c>
      <c r="G11" s="89"/>
    </row>
    <row r="12" spans="1:7" ht="18.75" x14ac:dyDescent="0.25">
      <c r="A12" s="17">
        <v>5</v>
      </c>
      <c r="B12" s="18" t="s">
        <v>18</v>
      </c>
      <c r="C12" s="86"/>
      <c r="D12" s="87"/>
      <c r="E12" s="26"/>
      <c r="F12" s="27"/>
      <c r="G12" s="88"/>
    </row>
    <row r="13" spans="1:7" ht="15.75" thickBot="1" x14ac:dyDescent="0.3">
      <c r="A13" s="21" t="s">
        <v>7</v>
      </c>
      <c r="B13" s="2" t="s">
        <v>19</v>
      </c>
      <c r="C13" s="78">
        <v>2</v>
      </c>
      <c r="D13" s="79"/>
      <c r="E13" s="15">
        <v>2</v>
      </c>
      <c r="F13" s="1">
        <f>+C13-E13</f>
        <v>0</v>
      </c>
      <c r="G13" s="89"/>
    </row>
    <row r="14" spans="1:7" ht="56.25" x14ac:dyDescent="0.25">
      <c r="A14" s="17">
        <v>6</v>
      </c>
      <c r="B14" s="20" t="s">
        <v>4</v>
      </c>
      <c r="C14" s="20" t="s">
        <v>20</v>
      </c>
      <c r="D14" s="20" t="s">
        <v>21</v>
      </c>
      <c r="E14" s="20" t="s">
        <v>22</v>
      </c>
      <c r="F14" s="28" t="s">
        <v>23</v>
      </c>
      <c r="G14" s="29" t="s">
        <v>24</v>
      </c>
    </row>
    <row r="15" spans="1:7" ht="16.5" x14ac:dyDescent="0.25">
      <c r="A15" s="91" t="s">
        <v>7</v>
      </c>
      <c r="B15" s="94" t="s">
        <v>25</v>
      </c>
      <c r="C15" s="90">
        <v>4500205759</v>
      </c>
      <c r="D15" s="31" t="s">
        <v>26</v>
      </c>
      <c r="E15" s="30" t="s">
        <v>27</v>
      </c>
      <c r="F15" s="32">
        <v>4766.7299999999996</v>
      </c>
      <c r="G15" s="33"/>
    </row>
    <row r="16" spans="1:7" ht="16.5" x14ac:dyDescent="0.25">
      <c r="A16" s="92"/>
      <c r="B16" s="95"/>
      <c r="C16" s="90"/>
      <c r="D16" s="31" t="s">
        <v>28</v>
      </c>
      <c r="E16" s="30" t="s">
        <v>29</v>
      </c>
      <c r="F16" s="32">
        <v>135.84</v>
      </c>
      <c r="G16" s="33"/>
    </row>
    <row r="17" spans="1:7" ht="16.5" x14ac:dyDescent="0.25">
      <c r="A17" s="93"/>
      <c r="B17" s="96"/>
      <c r="C17" s="90"/>
      <c r="D17" s="31" t="s">
        <v>30</v>
      </c>
      <c r="E17" s="30" t="s">
        <v>29</v>
      </c>
      <c r="F17" s="32">
        <v>95.49</v>
      </c>
      <c r="G17" s="33"/>
    </row>
    <row r="18" spans="1:7" ht="16.5" x14ac:dyDescent="0.25">
      <c r="A18" s="91" t="s">
        <v>8</v>
      </c>
      <c r="B18" s="94" t="s">
        <v>31</v>
      </c>
      <c r="C18" s="97">
        <v>4500205760</v>
      </c>
      <c r="D18" s="31" t="s">
        <v>26</v>
      </c>
      <c r="E18" s="30" t="s">
        <v>32</v>
      </c>
      <c r="F18" s="32">
        <v>5089.7299999999996</v>
      </c>
      <c r="G18" s="33"/>
    </row>
    <row r="19" spans="1:7" ht="16.5" x14ac:dyDescent="0.25">
      <c r="A19" s="92"/>
      <c r="B19" s="95"/>
      <c r="C19" s="97"/>
      <c r="D19" s="31" t="s">
        <v>28</v>
      </c>
      <c r="E19" s="30" t="s">
        <v>29</v>
      </c>
      <c r="F19" s="32">
        <v>405.85</v>
      </c>
      <c r="G19" s="33"/>
    </row>
    <row r="20" spans="1:7" ht="16.5" x14ac:dyDescent="0.25">
      <c r="A20" s="93"/>
      <c r="B20" s="96"/>
      <c r="C20" s="97"/>
      <c r="D20" s="31" t="s">
        <v>30</v>
      </c>
      <c r="E20" s="30" t="s">
        <v>29</v>
      </c>
      <c r="F20" s="32">
        <v>95.23</v>
      </c>
      <c r="G20" s="33"/>
    </row>
    <row r="21" spans="1:7" ht="30" customHeight="1" x14ac:dyDescent="0.25">
      <c r="A21" s="91" t="s">
        <v>9</v>
      </c>
      <c r="B21" s="94" t="s">
        <v>33</v>
      </c>
      <c r="C21" s="97">
        <v>4500203332</v>
      </c>
      <c r="D21" s="34" t="s">
        <v>34</v>
      </c>
      <c r="E21" s="30" t="s">
        <v>35</v>
      </c>
      <c r="F21" s="32">
        <v>179</v>
      </c>
      <c r="G21" s="33"/>
    </row>
    <row r="22" spans="1:7" ht="16.5" x14ac:dyDescent="0.25">
      <c r="A22" s="92"/>
      <c r="B22" s="95"/>
      <c r="C22" s="97"/>
      <c r="D22" s="35" t="s">
        <v>36</v>
      </c>
      <c r="E22" s="30" t="s">
        <v>37</v>
      </c>
      <c r="F22" s="32">
        <v>274.19499999999999</v>
      </c>
      <c r="G22" s="33"/>
    </row>
    <row r="23" spans="1:7" ht="16.5" x14ac:dyDescent="0.25">
      <c r="A23" s="92"/>
      <c r="B23" s="95"/>
      <c r="C23" s="97"/>
      <c r="D23" s="35" t="s">
        <v>38</v>
      </c>
      <c r="E23" s="30" t="s">
        <v>39</v>
      </c>
      <c r="F23" s="32">
        <v>650.05999999999995</v>
      </c>
      <c r="G23" s="33"/>
    </row>
    <row r="24" spans="1:7" ht="30" x14ac:dyDescent="0.25">
      <c r="A24" s="92"/>
      <c r="B24" s="95"/>
      <c r="C24" s="97"/>
      <c r="D24" s="36" t="s">
        <v>40</v>
      </c>
      <c r="E24" s="30" t="s">
        <v>41</v>
      </c>
      <c r="F24" s="32">
        <v>193.60499999999999</v>
      </c>
      <c r="G24" s="69"/>
    </row>
    <row r="25" spans="1:7" x14ac:dyDescent="0.25">
      <c r="A25" s="92"/>
      <c r="B25" s="95"/>
      <c r="C25" s="97"/>
      <c r="D25" s="35" t="s">
        <v>42</v>
      </c>
      <c r="E25" s="30" t="s">
        <v>43</v>
      </c>
      <c r="F25" s="32">
        <v>23</v>
      </c>
      <c r="G25" s="33"/>
    </row>
    <row r="26" spans="1:7" ht="30" customHeight="1" x14ac:dyDescent="0.25">
      <c r="A26" s="92"/>
      <c r="B26" s="95"/>
      <c r="C26" s="97"/>
      <c r="D26" s="34" t="s">
        <v>44</v>
      </c>
      <c r="E26" s="30" t="s">
        <v>35</v>
      </c>
      <c r="F26" s="32">
        <v>475</v>
      </c>
      <c r="G26" s="69"/>
    </row>
    <row r="27" spans="1:7" ht="30" customHeight="1" x14ac:dyDescent="0.25">
      <c r="A27" s="92"/>
      <c r="B27" s="95"/>
      <c r="C27" s="97"/>
      <c r="D27" s="34" t="s">
        <v>44</v>
      </c>
      <c r="E27" s="30" t="s">
        <v>35</v>
      </c>
      <c r="F27" s="32">
        <v>427</v>
      </c>
      <c r="G27" s="69"/>
    </row>
    <row r="28" spans="1:7" ht="30.75" customHeight="1" thickBot="1" x14ac:dyDescent="0.3">
      <c r="A28" s="98"/>
      <c r="B28" s="99"/>
      <c r="C28" s="102"/>
      <c r="D28" s="37" t="s">
        <v>45</v>
      </c>
      <c r="E28" s="38" t="s">
        <v>46</v>
      </c>
      <c r="F28" s="32">
        <v>15.94</v>
      </c>
      <c r="G28" s="68"/>
    </row>
    <row r="29" spans="1:7" s="42" customFormat="1" x14ac:dyDescent="0.25">
      <c r="A29" s="17">
        <v>7</v>
      </c>
      <c r="B29" s="39" t="s">
        <v>47</v>
      </c>
      <c r="C29" s="39" t="s">
        <v>48</v>
      </c>
      <c r="D29" s="40" t="s">
        <v>49</v>
      </c>
      <c r="E29" s="40" t="s">
        <v>50</v>
      </c>
      <c r="F29" s="39" t="s">
        <v>51</v>
      </c>
      <c r="G29" s="41" t="s">
        <v>52</v>
      </c>
    </row>
    <row r="30" spans="1:7" ht="30" x14ac:dyDescent="0.25">
      <c r="A30" s="91" t="s">
        <v>7</v>
      </c>
      <c r="B30" s="100" t="s">
        <v>53</v>
      </c>
      <c r="C30" s="43">
        <v>5064</v>
      </c>
      <c r="D30" s="44" t="s">
        <v>54</v>
      </c>
      <c r="E30" s="45"/>
      <c r="F30" s="46" t="s">
        <v>55</v>
      </c>
      <c r="G30" s="47"/>
    </row>
    <row r="31" spans="1:7" ht="30" x14ac:dyDescent="0.25">
      <c r="A31" s="92"/>
      <c r="B31" s="101"/>
      <c r="C31" s="43">
        <v>5317</v>
      </c>
      <c r="D31" s="44" t="s">
        <v>56</v>
      </c>
      <c r="E31" s="45"/>
      <c r="F31" s="46" t="s">
        <v>57</v>
      </c>
      <c r="G31" s="47"/>
    </row>
    <row r="32" spans="1:7" ht="30" x14ac:dyDescent="0.25">
      <c r="A32" s="92"/>
      <c r="B32" s="101"/>
      <c r="C32" s="43"/>
      <c r="D32" s="44" t="s">
        <v>58</v>
      </c>
      <c r="E32" s="45"/>
      <c r="F32" s="46" t="s">
        <v>57</v>
      </c>
      <c r="G32" s="47"/>
    </row>
    <row r="33" spans="1:7" x14ac:dyDescent="0.25">
      <c r="A33" s="92"/>
      <c r="B33" s="101"/>
      <c r="C33" s="43"/>
      <c r="D33" s="44" t="s">
        <v>59</v>
      </c>
      <c r="E33" s="45"/>
      <c r="F33" s="46" t="s">
        <v>60</v>
      </c>
      <c r="G33" s="47"/>
    </row>
    <row r="34" spans="1:7" x14ac:dyDescent="0.25">
      <c r="A34" s="92"/>
      <c r="B34" s="101"/>
      <c r="C34" s="43"/>
      <c r="D34" s="44" t="s">
        <v>61</v>
      </c>
      <c r="E34" s="45"/>
      <c r="F34" s="46" t="s">
        <v>60</v>
      </c>
      <c r="G34" s="47"/>
    </row>
    <row r="35" spans="1:7" x14ac:dyDescent="0.25">
      <c r="A35" s="92"/>
      <c r="B35" s="101"/>
      <c r="C35" s="43"/>
      <c r="D35" s="44" t="s">
        <v>62</v>
      </c>
      <c r="E35" s="48"/>
      <c r="F35" s="46" t="s">
        <v>60</v>
      </c>
      <c r="G35" s="47"/>
    </row>
    <row r="36" spans="1:7" x14ac:dyDescent="0.25">
      <c r="A36" s="92"/>
      <c r="B36" s="101"/>
      <c r="C36" s="43"/>
      <c r="D36" s="44" t="s">
        <v>63</v>
      </c>
      <c r="E36" s="44"/>
      <c r="F36" s="46" t="s">
        <v>60</v>
      </c>
      <c r="G36" s="47"/>
    </row>
    <row r="37" spans="1:7" x14ac:dyDescent="0.25">
      <c r="A37" s="92"/>
      <c r="B37" s="101"/>
      <c r="C37" s="43"/>
      <c r="D37" s="44" t="s">
        <v>64</v>
      </c>
      <c r="E37" s="44"/>
      <c r="F37" s="46" t="s">
        <v>60</v>
      </c>
      <c r="G37" s="47"/>
    </row>
    <row r="38" spans="1:7" x14ac:dyDescent="0.25">
      <c r="A38" s="92"/>
      <c r="B38" s="101"/>
      <c r="C38" s="43"/>
      <c r="D38" s="44" t="s">
        <v>84</v>
      </c>
      <c r="E38" s="44"/>
      <c r="F38" s="46" t="s">
        <v>60</v>
      </c>
      <c r="G38" s="47"/>
    </row>
    <row r="39" spans="1:7" x14ac:dyDescent="0.25">
      <c r="A39" s="92"/>
      <c r="B39" s="101"/>
      <c r="C39" s="43"/>
      <c r="D39" s="44" t="s">
        <v>86</v>
      </c>
      <c r="E39" s="44"/>
      <c r="F39" s="46" t="s">
        <v>60</v>
      </c>
      <c r="G39" s="47"/>
    </row>
    <row r="40" spans="1:7" x14ac:dyDescent="0.25">
      <c r="A40" s="92"/>
      <c r="B40" s="101"/>
      <c r="C40" s="43"/>
      <c r="D40" s="44" t="s">
        <v>87</v>
      </c>
      <c r="E40" s="44"/>
      <c r="F40" s="46" t="s">
        <v>60</v>
      </c>
      <c r="G40" s="47"/>
    </row>
    <row r="41" spans="1:7" x14ac:dyDescent="0.25">
      <c r="A41" s="92"/>
      <c r="B41" s="101"/>
      <c r="C41" s="43"/>
      <c r="D41" s="44" t="s">
        <v>93</v>
      </c>
      <c r="E41" s="44"/>
      <c r="F41" s="46" t="s">
        <v>60</v>
      </c>
      <c r="G41" s="47"/>
    </row>
    <row r="42" spans="1:7" x14ac:dyDescent="0.25">
      <c r="A42" s="92"/>
      <c r="B42" s="101"/>
      <c r="C42" s="43"/>
      <c r="D42" s="44" t="s">
        <v>151</v>
      </c>
      <c r="E42" s="44"/>
      <c r="F42" s="46" t="s">
        <v>60</v>
      </c>
      <c r="G42" s="47"/>
    </row>
    <row r="43" spans="1:7" x14ac:dyDescent="0.25">
      <c r="A43" s="93"/>
      <c r="B43" s="49" t="s">
        <v>66</v>
      </c>
      <c r="C43" s="50">
        <v>13</v>
      </c>
      <c r="D43" s="3">
        <v>13</v>
      </c>
      <c r="E43" s="51"/>
      <c r="F43" s="52">
        <v>13</v>
      </c>
      <c r="G43" s="53"/>
    </row>
    <row r="44" spans="1:7" x14ac:dyDescent="0.25">
      <c r="A44" s="91" t="s">
        <v>8</v>
      </c>
      <c r="B44" s="100" t="s">
        <v>67</v>
      </c>
      <c r="C44" s="43"/>
      <c r="D44" s="44" t="s">
        <v>150</v>
      </c>
      <c r="E44" s="44" t="s">
        <v>95</v>
      </c>
      <c r="F44" s="48"/>
      <c r="G44" s="47" t="s">
        <v>76</v>
      </c>
    </row>
    <row r="45" spans="1:7" x14ac:dyDescent="0.25">
      <c r="A45" s="92"/>
      <c r="B45" s="101"/>
      <c r="C45" s="43"/>
      <c r="D45" s="44" t="s">
        <v>149</v>
      </c>
      <c r="E45" s="44" t="s">
        <v>95</v>
      </c>
      <c r="F45" s="48"/>
      <c r="G45" s="47" t="s">
        <v>76</v>
      </c>
    </row>
    <row r="46" spans="1:7" x14ac:dyDescent="0.25">
      <c r="A46" s="93"/>
      <c r="B46" s="49" t="s">
        <v>66</v>
      </c>
      <c r="C46" s="3">
        <v>2</v>
      </c>
      <c r="D46" s="5">
        <v>2</v>
      </c>
      <c r="E46" s="54">
        <v>2</v>
      </c>
      <c r="F46" s="55"/>
      <c r="G46" s="56"/>
    </row>
    <row r="47" spans="1:7" x14ac:dyDescent="0.25">
      <c r="A47" s="91" t="s">
        <v>9</v>
      </c>
      <c r="B47" s="100" t="s">
        <v>68</v>
      </c>
      <c r="C47" s="43">
        <v>5888</v>
      </c>
      <c r="D47" s="44" t="s">
        <v>69</v>
      </c>
      <c r="E47" s="48"/>
      <c r="F47" s="46" t="s">
        <v>70</v>
      </c>
      <c r="G47" s="47"/>
    </row>
    <row r="48" spans="1:7" x14ac:dyDescent="0.25">
      <c r="A48" s="92"/>
      <c r="B48" s="101"/>
      <c r="C48" s="43">
        <v>6769</v>
      </c>
      <c r="D48" s="44" t="s">
        <v>71</v>
      </c>
      <c r="E48" s="48"/>
      <c r="F48" s="46" t="s">
        <v>70</v>
      </c>
      <c r="G48" s="47"/>
    </row>
    <row r="49" spans="1:7" x14ac:dyDescent="0.25">
      <c r="A49" s="92"/>
      <c r="B49" s="101"/>
      <c r="C49" s="43"/>
      <c r="D49" s="44" t="s">
        <v>148</v>
      </c>
      <c r="E49" s="48"/>
      <c r="F49" s="46" t="s">
        <v>70</v>
      </c>
      <c r="G49" s="47"/>
    </row>
    <row r="50" spans="1:7" x14ac:dyDescent="0.25">
      <c r="A50" s="92"/>
      <c r="B50" s="101"/>
      <c r="C50" s="43">
        <v>8893</v>
      </c>
      <c r="D50" s="44" t="s">
        <v>73</v>
      </c>
      <c r="E50" s="48"/>
      <c r="F50" s="46" t="s">
        <v>72</v>
      </c>
      <c r="G50" s="47"/>
    </row>
    <row r="51" spans="1:7" x14ac:dyDescent="0.25">
      <c r="A51" s="92"/>
      <c r="B51" s="101"/>
      <c r="C51" s="43">
        <v>9203</v>
      </c>
      <c r="D51" s="44" t="s">
        <v>83</v>
      </c>
      <c r="E51" s="48"/>
      <c r="F51" s="46" t="s">
        <v>70</v>
      </c>
      <c r="G51" s="47"/>
    </row>
    <row r="52" spans="1:7" x14ac:dyDescent="0.25">
      <c r="A52" s="92"/>
      <c r="B52" s="101"/>
      <c r="C52" s="43">
        <v>9235</v>
      </c>
      <c r="D52" s="44" t="s">
        <v>147</v>
      </c>
      <c r="E52" s="44"/>
      <c r="F52" s="46" t="s">
        <v>60</v>
      </c>
      <c r="G52" s="47"/>
    </row>
    <row r="53" spans="1:7" x14ac:dyDescent="0.25">
      <c r="A53" s="92"/>
      <c r="B53" s="101"/>
      <c r="C53" s="43">
        <v>9321</v>
      </c>
      <c r="D53" s="44" t="s">
        <v>82</v>
      </c>
      <c r="E53" s="44"/>
      <c r="F53" s="46" t="s">
        <v>60</v>
      </c>
      <c r="G53" s="47"/>
    </row>
    <row r="54" spans="1:7" x14ac:dyDescent="0.25">
      <c r="A54" s="92"/>
      <c r="B54" s="101"/>
      <c r="C54" s="43">
        <v>9426</v>
      </c>
      <c r="D54" s="44" t="s">
        <v>146</v>
      </c>
      <c r="E54" s="44"/>
      <c r="F54" s="46" t="s">
        <v>70</v>
      </c>
      <c r="G54" s="47"/>
    </row>
    <row r="55" spans="1:7" x14ac:dyDescent="0.25">
      <c r="A55" s="92"/>
      <c r="B55" s="101"/>
      <c r="C55" s="43">
        <v>9647</v>
      </c>
      <c r="D55" s="44" t="s">
        <v>88</v>
      </c>
      <c r="E55" s="44"/>
      <c r="F55" s="46" t="s">
        <v>70</v>
      </c>
      <c r="G55" s="47"/>
    </row>
    <row r="56" spans="1:7" x14ac:dyDescent="0.25">
      <c r="A56" s="92"/>
      <c r="B56" s="101"/>
      <c r="C56" s="43">
        <v>9664</v>
      </c>
      <c r="D56" s="44" t="s">
        <v>104</v>
      </c>
      <c r="E56" s="44"/>
      <c r="F56" s="46" t="s">
        <v>60</v>
      </c>
      <c r="G56" s="47"/>
    </row>
    <row r="57" spans="1:7" x14ac:dyDescent="0.25">
      <c r="A57" s="92"/>
      <c r="B57" s="101"/>
      <c r="C57" s="43">
        <v>9699</v>
      </c>
      <c r="D57" s="44" t="s">
        <v>90</v>
      </c>
      <c r="E57" s="44"/>
      <c r="F57" s="46" t="s">
        <v>70</v>
      </c>
      <c r="G57" s="47"/>
    </row>
    <row r="58" spans="1:7" x14ac:dyDescent="0.25">
      <c r="A58" s="92"/>
      <c r="B58" s="101"/>
      <c r="C58" s="43">
        <v>9762</v>
      </c>
      <c r="D58" s="44" t="s">
        <v>145</v>
      </c>
      <c r="E58" s="44"/>
      <c r="F58" s="46" t="s">
        <v>60</v>
      </c>
      <c r="G58" s="47"/>
    </row>
    <row r="59" spans="1:7" x14ac:dyDescent="0.25">
      <c r="A59" s="92"/>
      <c r="B59" s="101"/>
      <c r="C59" s="43">
        <v>9751</v>
      </c>
      <c r="D59" s="44" t="s">
        <v>144</v>
      </c>
      <c r="E59" s="44"/>
      <c r="F59" s="46" t="s">
        <v>60</v>
      </c>
      <c r="G59" s="47"/>
    </row>
    <row r="60" spans="1:7" x14ac:dyDescent="0.25">
      <c r="A60" s="92"/>
      <c r="B60" s="101"/>
      <c r="C60" s="43">
        <v>9781</v>
      </c>
      <c r="D60" s="44" t="s">
        <v>92</v>
      </c>
      <c r="E60" s="44"/>
      <c r="F60" s="46" t="s">
        <v>70</v>
      </c>
      <c r="G60" s="47"/>
    </row>
    <row r="61" spans="1:7" x14ac:dyDescent="0.25">
      <c r="A61" s="92"/>
      <c r="B61" s="101"/>
      <c r="C61" s="43">
        <v>9850</v>
      </c>
      <c r="D61" s="44" t="s">
        <v>94</v>
      </c>
      <c r="E61" s="44"/>
      <c r="F61" s="46" t="s">
        <v>70</v>
      </c>
      <c r="G61" s="47"/>
    </row>
    <row r="62" spans="1:7" x14ac:dyDescent="0.25">
      <c r="A62" s="92"/>
      <c r="B62" s="101"/>
      <c r="C62" s="43">
        <v>9936</v>
      </c>
      <c r="D62" s="44" t="s">
        <v>97</v>
      </c>
      <c r="E62" s="44"/>
      <c r="F62" s="46" t="s">
        <v>70</v>
      </c>
      <c r="G62" s="47"/>
    </row>
    <row r="63" spans="1:7" x14ac:dyDescent="0.25">
      <c r="A63" s="92"/>
      <c r="B63" s="101"/>
      <c r="C63" s="43">
        <v>9996</v>
      </c>
      <c r="D63" s="44" t="s">
        <v>96</v>
      </c>
      <c r="E63" s="44"/>
      <c r="F63" s="46" t="s">
        <v>60</v>
      </c>
      <c r="G63" s="47"/>
    </row>
    <row r="64" spans="1:7" x14ac:dyDescent="0.25">
      <c r="A64" s="92"/>
      <c r="B64" s="101"/>
      <c r="C64" s="43">
        <v>10070</v>
      </c>
      <c r="D64" s="44" t="s">
        <v>98</v>
      </c>
      <c r="E64" s="44"/>
      <c r="F64" s="46" t="s">
        <v>60</v>
      </c>
      <c r="G64" s="47"/>
    </row>
    <row r="65" spans="1:7" x14ac:dyDescent="0.25">
      <c r="A65" s="92"/>
      <c r="B65" s="101"/>
      <c r="C65" s="43">
        <v>10145</v>
      </c>
      <c r="D65" s="44" t="s">
        <v>103</v>
      </c>
      <c r="E65" s="44"/>
      <c r="F65" s="46" t="s">
        <v>70</v>
      </c>
      <c r="G65" s="47"/>
    </row>
    <row r="66" spans="1:7" x14ac:dyDescent="0.25">
      <c r="A66" s="92"/>
      <c r="B66" s="101"/>
      <c r="C66" s="43">
        <v>10127</v>
      </c>
      <c r="D66" s="44" t="s">
        <v>102</v>
      </c>
      <c r="E66" s="44"/>
      <c r="F66" s="46" t="s">
        <v>70</v>
      </c>
      <c r="G66" s="47"/>
    </row>
    <row r="67" spans="1:7" x14ac:dyDescent="0.25">
      <c r="A67" s="92"/>
      <c r="B67" s="101"/>
      <c r="C67" s="43">
        <v>10154</v>
      </c>
      <c r="D67" s="44" t="s">
        <v>101</v>
      </c>
      <c r="E67" s="44"/>
      <c r="F67" s="46" t="s">
        <v>70</v>
      </c>
      <c r="G67" s="47"/>
    </row>
    <row r="68" spans="1:7" x14ac:dyDescent="0.25">
      <c r="A68" s="92"/>
      <c r="B68" s="101"/>
      <c r="C68" s="43">
        <v>10169</v>
      </c>
      <c r="D68" s="44" t="s">
        <v>100</v>
      </c>
      <c r="E68" s="44"/>
      <c r="F68" s="46" t="s">
        <v>70</v>
      </c>
      <c r="G68" s="47"/>
    </row>
    <row r="69" spans="1:7" x14ac:dyDescent="0.25">
      <c r="A69" s="92"/>
      <c r="B69" s="101"/>
      <c r="C69" s="43">
        <v>10179</v>
      </c>
      <c r="D69" s="44" t="s">
        <v>99</v>
      </c>
      <c r="E69" s="44"/>
      <c r="F69" s="46" t="s">
        <v>70</v>
      </c>
      <c r="G69" s="47"/>
    </row>
    <row r="70" spans="1:7" x14ac:dyDescent="0.25">
      <c r="A70" s="92"/>
      <c r="B70" s="101"/>
      <c r="C70" s="43">
        <v>10180</v>
      </c>
      <c r="D70" s="44" t="s">
        <v>143</v>
      </c>
      <c r="E70" s="44"/>
      <c r="F70" s="46" t="s">
        <v>70</v>
      </c>
      <c r="G70" s="47"/>
    </row>
    <row r="71" spans="1:7" x14ac:dyDescent="0.25">
      <c r="A71" s="92"/>
      <c r="B71" s="101"/>
      <c r="C71" s="43">
        <v>10279</v>
      </c>
      <c r="D71" s="44" t="s">
        <v>142</v>
      </c>
      <c r="E71" s="44"/>
      <c r="F71" s="46" t="s">
        <v>70</v>
      </c>
      <c r="G71" s="47"/>
    </row>
    <row r="72" spans="1:7" x14ac:dyDescent="0.25">
      <c r="A72" s="92"/>
      <c r="B72" s="101"/>
      <c r="C72" s="43">
        <v>10318</v>
      </c>
      <c r="D72" s="44" t="s">
        <v>105</v>
      </c>
      <c r="E72" s="44"/>
      <c r="F72" s="46" t="s">
        <v>70</v>
      </c>
      <c r="G72" s="47"/>
    </row>
    <row r="73" spans="1:7" x14ac:dyDescent="0.25">
      <c r="A73" s="92"/>
      <c r="B73" s="57" t="s">
        <v>66</v>
      </c>
      <c r="C73" s="4">
        <v>26</v>
      </c>
      <c r="D73" s="4">
        <v>26</v>
      </c>
      <c r="E73" s="58"/>
      <c r="F73" s="59">
        <v>26</v>
      </c>
      <c r="G73" s="53"/>
    </row>
    <row r="74" spans="1:7" x14ac:dyDescent="0.25">
      <c r="A74" s="91" t="s">
        <v>74</v>
      </c>
      <c r="B74" s="100" t="s">
        <v>75</v>
      </c>
      <c r="C74" s="60">
        <v>10305</v>
      </c>
      <c r="D74" s="61" t="s">
        <v>141</v>
      </c>
      <c r="E74" s="61" t="s">
        <v>106</v>
      </c>
      <c r="F74" s="62"/>
      <c r="G74" s="63" t="s">
        <v>65</v>
      </c>
    </row>
    <row r="75" spans="1:7" x14ac:dyDescent="0.25">
      <c r="A75" s="92"/>
      <c r="B75" s="101"/>
      <c r="C75" s="60">
        <v>10303</v>
      </c>
      <c r="D75" s="61" t="s">
        <v>140</v>
      </c>
      <c r="E75" s="61" t="s">
        <v>139</v>
      </c>
      <c r="F75" s="62"/>
      <c r="G75" s="63" t="s">
        <v>65</v>
      </c>
    </row>
    <row r="76" spans="1:7" x14ac:dyDescent="0.25">
      <c r="A76" s="92"/>
      <c r="B76" s="101"/>
      <c r="C76" s="60">
        <v>10280</v>
      </c>
      <c r="D76" s="61" t="s">
        <v>138</v>
      </c>
      <c r="E76" s="61" t="s">
        <v>137</v>
      </c>
      <c r="F76" s="62"/>
      <c r="G76" s="63" t="s">
        <v>65</v>
      </c>
    </row>
    <row r="77" spans="1:7" x14ac:dyDescent="0.25">
      <c r="A77" s="92"/>
      <c r="B77" s="101"/>
      <c r="C77" s="60">
        <v>10283</v>
      </c>
      <c r="D77" s="61" t="s">
        <v>136</v>
      </c>
      <c r="E77" s="61" t="s">
        <v>135</v>
      </c>
      <c r="F77" s="62"/>
      <c r="G77" s="63" t="s">
        <v>65</v>
      </c>
    </row>
    <row r="78" spans="1:7" x14ac:dyDescent="0.25">
      <c r="A78" s="92"/>
      <c r="B78" s="101"/>
      <c r="C78" s="60">
        <v>9698</v>
      </c>
      <c r="D78" s="61" t="s">
        <v>134</v>
      </c>
      <c r="E78" s="61" t="s">
        <v>133</v>
      </c>
      <c r="F78" s="62"/>
      <c r="G78" s="63" t="s">
        <v>65</v>
      </c>
    </row>
    <row r="79" spans="1:7" x14ac:dyDescent="0.25">
      <c r="A79" s="92"/>
      <c r="B79" s="101"/>
      <c r="C79" s="60">
        <v>10289</v>
      </c>
      <c r="D79" s="61" t="s">
        <v>132</v>
      </c>
      <c r="E79" s="61" t="s">
        <v>108</v>
      </c>
      <c r="F79" s="62"/>
      <c r="G79" s="63" t="s">
        <v>65</v>
      </c>
    </row>
    <row r="80" spans="1:7" x14ac:dyDescent="0.25">
      <c r="A80" s="92"/>
      <c r="B80" s="101"/>
      <c r="C80" s="60">
        <v>10287</v>
      </c>
      <c r="D80" s="61" t="s">
        <v>131</v>
      </c>
      <c r="E80" s="61" t="s">
        <v>130</v>
      </c>
      <c r="F80" s="62"/>
      <c r="G80" s="63" t="s">
        <v>65</v>
      </c>
    </row>
    <row r="81" spans="1:7" x14ac:dyDescent="0.25">
      <c r="A81" s="92"/>
      <c r="B81" s="101"/>
      <c r="C81" s="60">
        <v>10291</v>
      </c>
      <c r="D81" s="61" t="s">
        <v>129</v>
      </c>
      <c r="E81" s="61" t="s">
        <v>128</v>
      </c>
      <c r="F81" s="62"/>
      <c r="G81" s="63" t="s">
        <v>65</v>
      </c>
    </row>
    <row r="82" spans="1:7" x14ac:dyDescent="0.25">
      <c r="A82" s="92"/>
      <c r="B82" s="101"/>
      <c r="C82" s="60">
        <v>10294</v>
      </c>
      <c r="D82" s="61" t="s">
        <v>127</v>
      </c>
      <c r="E82" s="61" t="s">
        <v>107</v>
      </c>
      <c r="F82" s="62"/>
      <c r="G82" s="63" t="s">
        <v>126</v>
      </c>
    </row>
    <row r="83" spans="1:7" x14ac:dyDescent="0.25">
      <c r="A83" s="92"/>
      <c r="B83" s="101"/>
      <c r="C83" s="60">
        <v>10265</v>
      </c>
      <c r="D83" s="61" t="s">
        <v>125</v>
      </c>
      <c r="E83" s="61" t="s">
        <v>124</v>
      </c>
      <c r="F83" s="62"/>
      <c r="G83" s="63" t="s">
        <v>65</v>
      </c>
    </row>
    <row r="84" spans="1:7" x14ac:dyDescent="0.25">
      <c r="A84" s="92"/>
      <c r="B84" s="101"/>
      <c r="C84" s="60"/>
      <c r="D84" s="61" t="s">
        <v>123</v>
      </c>
      <c r="E84" s="61" t="s">
        <v>122</v>
      </c>
      <c r="F84" s="62"/>
      <c r="G84" s="63" t="s">
        <v>65</v>
      </c>
    </row>
    <row r="85" spans="1:7" x14ac:dyDescent="0.25">
      <c r="A85" s="92"/>
      <c r="B85" s="101"/>
      <c r="C85" s="60">
        <v>10375</v>
      </c>
      <c r="D85" s="61" t="s">
        <v>121</v>
      </c>
      <c r="E85" s="61" t="s">
        <v>120</v>
      </c>
      <c r="F85" s="62"/>
      <c r="G85" s="63" t="s">
        <v>65</v>
      </c>
    </row>
    <row r="86" spans="1:7" x14ac:dyDescent="0.25">
      <c r="A86" s="93"/>
      <c r="B86" s="49" t="s">
        <v>66</v>
      </c>
      <c r="C86" s="3">
        <v>12</v>
      </c>
      <c r="D86" s="3">
        <v>12</v>
      </c>
      <c r="E86" s="6">
        <v>12</v>
      </c>
      <c r="F86" s="3"/>
      <c r="G86" s="64"/>
    </row>
    <row r="87" spans="1:7" x14ac:dyDescent="0.25">
      <c r="A87" s="91" t="s">
        <v>77</v>
      </c>
      <c r="B87" s="100" t="s">
        <v>78</v>
      </c>
      <c r="C87" s="32"/>
      <c r="D87" s="44" t="s">
        <v>119</v>
      </c>
      <c r="E87" s="70" t="s">
        <v>118</v>
      </c>
      <c r="F87" s="65"/>
      <c r="G87" s="66" t="s">
        <v>79</v>
      </c>
    </row>
    <row r="88" spans="1:7" x14ac:dyDescent="0.25">
      <c r="A88" s="92"/>
      <c r="B88" s="101"/>
      <c r="C88" s="32"/>
      <c r="D88" s="44" t="s">
        <v>117</v>
      </c>
      <c r="E88" s="44" t="s">
        <v>116</v>
      </c>
      <c r="F88" s="44"/>
      <c r="G88" s="66" t="s">
        <v>79</v>
      </c>
    </row>
    <row r="89" spans="1:7" x14ac:dyDescent="0.25">
      <c r="A89" s="92"/>
      <c r="B89" s="101"/>
      <c r="C89" s="32"/>
      <c r="D89" s="44" t="s">
        <v>115</v>
      </c>
      <c r="E89" s="44" t="s">
        <v>114</v>
      </c>
      <c r="F89" s="65"/>
      <c r="G89" s="66"/>
    </row>
    <row r="90" spans="1:7" ht="15.75" thickBot="1" x14ac:dyDescent="0.3">
      <c r="A90" s="93"/>
      <c r="B90" s="49" t="s">
        <v>66</v>
      </c>
      <c r="C90" s="3">
        <v>3</v>
      </c>
      <c r="D90" s="3">
        <v>3</v>
      </c>
      <c r="E90" s="51">
        <v>3</v>
      </c>
      <c r="F90" s="52"/>
      <c r="G90" s="53"/>
    </row>
    <row r="91" spans="1:7" x14ac:dyDescent="0.25">
      <c r="A91" s="109">
        <v>8</v>
      </c>
      <c r="B91" s="110" t="s">
        <v>5</v>
      </c>
      <c r="C91" s="112" t="s">
        <v>80</v>
      </c>
      <c r="D91" s="113"/>
      <c r="E91" s="113"/>
      <c r="F91" s="113"/>
      <c r="G91" s="114"/>
    </row>
    <row r="92" spans="1:7" ht="16.5" customHeight="1" x14ac:dyDescent="0.25">
      <c r="A92" s="92"/>
      <c r="B92" s="101"/>
      <c r="C92" s="115" t="s">
        <v>113</v>
      </c>
      <c r="D92" s="116"/>
      <c r="E92" s="116"/>
      <c r="F92" s="116"/>
      <c r="G92" s="117"/>
    </row>
    <row r="93" spans="1:7" ht="16.5" customHeight="1" x14ac:dyDescent="0.25">
      <c r="A93" s="92"/>
      <c r="B93" s="101"/>
      <c r="C93" s="115" t="s">
        <v>112</v>
      </c>
      <c r="D93" s="116"/>
      <c r="E93" s="116"/>
      <c r="F93" s="116"/>
      <c r="G93" s="117"/>
    </row>
    <row r="94" spans="1:7" ht="16.5" customHeight="1" x14ac:dyDescent="0.25">
      <c r="A94" s="92"/>
      <c r="B94" s="101"/>
      <c r="C94" s="115" t="s">
        <v>89</v>
      </c>
      <c r="D94" s="116"/>
      <c r="E94" s="116"/>
      <c r="F94" s="116"/>
      <c r="G94" s="117"/>
    </row>
    <row r="95" spans="1:7" ht="16.5" customHeight="1" x14ac:dyDescent="0.25">
      <c r="A95" s="92"/>
      <c r="B95" s="101"/>
      <c r="C95" s="118" t="s">
        <v>111</v>
      </c>
      <c r="D95" s="119"/>
      <c r="E95" s="119"/>
      <c r="F95" s="119"/>
      <c r="G95" s="120"/>
    </row>
    <row r="96" spans="1:7" ht="16.5" customHeight="1" x14ac:dyDescent="0.25">
      <c r="A96" s="92"/>
      <c r="B96" s="101"/>
      <c r="C96" s="115" t="s">
        <v>110</v>
      </c>
      <c r="D96" s="116"/>
      <c r="E96" s="116"/>
      <c r="F96" s="116"/>
      <c r="G96" s="117"/>
    </row>
    <row r="97" spans="1:7" ht="16.5" customHeight="1" x14ac:dyDescent="0.25">
      <c r="A97" s="92"/>
      <c r="B97" s="101"/>
      <c r="C97" s="115" t="s">
        <v>91</v>
      </c>
      <c r="D97" s="116"/>
      <c r="E97" s="116"/>
      <c r="F97" s="116"/>
      <c r="G97" s="117"/>
    </row>
    <row r="98" spans="1:7" x14ac:dyDescent="0.25">
      <c r="A98" s="92"/>
      <c r="B98" s="101"/>
      <c r="C98" s="121" t="s">
        <v>81</v>
      </c>
      <c r="D98" s="122"/>
      <c r="E98" s="122"/>
      <c r="F98" s="122"/>
      <c r="G98" s="123"/>
    </row>
    <row r="99" spans="1:7" x14ac:dyDescent="0.25">
      <c r="A99" s="92"/>
      <c r="B99" s="101"/>
      <c r="C99" s="103" t="s">
        <v>109</v>
      </c>
      <c r="D99" s="104"/>
      <c r="E99" s="104"/>
      <c r="F99" s="104"/>
      <c r="G99" s="105"/>
    </row>
    <row r="100" spans="1:7" ht="15.75" thickBot="1" x14ac:dyDescent="0.3">
      <c r="A100" s="98"/>
      <c r="B100" s="111"/>
      <c r="C100" s="106"/>
      <c r="D100" s="107"/>
      <c r="E100" s="107"/>
      <c r="F100" s="107"/>
      <c r="G100" s="108"/>
    </row>
  </sheetData>
  <mergeCells count="47">
    <mergeCell ref="A87:A90"/>
    <mergeCell ref="B87:B89"/>
    <mergeCell ref="C99:G99"/>
    <mergeCell ref="C100:G100"/>
    <mergeCell ref="A91:A100"/>
    <mergeCell ref="B91:B100"/>
    <mergeCell ref="C91:G91"/>
    <mergeCell ref="C92:G92"/>
    <mergeCell ref="C93:G93"/>
    <mergeCell ref="C94:G94"/>
    <mergeCell ref="C95:G95"/>
    <mergeCell ref="C96:G96"/>
    <mergeCell ref="C97:G97"/>
    <mergeCell ref="C98:G98"/>
    <mergeCell ref="A74:A86"/>
    <mergeCell ref="B74:B85"/>
    <mergeCell ref="A44:A46"/>
    <mergeCell ref="B44:B45"/>
    <mergeCell ref="A15:A17"/>
    <mergeCell ref="B15:B17"/>
    <mergeCell ref="A30:A43"/>
    <mergeCell ref="B30:B42"/>
    <mergeCell ref="A47:A73"/>
    <mergeCell ref="B47:B72"/>
    <mergeCell ref="C15:C17"/>
    <mergeCell ref="A18:A20"/>
    <mergeCell ref="B18:B20"/>
    <mergeCell ref="C18:C20"/>
    <mergeCell ref="A21:A28"/>
    <mergeCell ref="B21:B28"/>
    <mergeCell ref="C21:C28"/>
    <mergeCell ref="C9:D9"/>
    <mergeCell ref="C10:D10"/>
    <mergeCell ref="G10:G11"/>
    <mergeCell ref="C11:D11"/>
    <mergeCell ref="C12:D12"/>
    <mergeCell ref="G12:G13"/>
    <mergeCell ref="C13:D13"/>
    <mergeCell ref="A1:G1"/>
    <mergeCell ref="B2:G2"/>
    <mergeCell ref="C3:D3"/>
    <mergeCell ref="C4:D4"/>
    <mergeCell ref="C5:D5"/>
    <mergeCell ref="G5:G8"/>
    <mergeCell ref="C6:D6"/>
    <mergeCell ref="C7:D7"/>
    <mergeCell ref="C8:D8"/>
  </mergeCells>
  <printOptions horizontalCentered="1"/>
  <pageMargins left="0.25" right="0.25" top="0.25" bottom="0.2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Township Maintenancwe23.09.2025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Srinivasa Rao</dc:creator>
  <cp:lastModifiedBy>Anurag Patel</cp:lastModifiedBy>
  <dcterms:created xsi:type="dcterms:W3CDTF">2025-05-17T04:31:33Z</dcterms:created>
  <dcterms:modified xsi:type="dcterms:W3CDTF">2026-05-18T06:25:43Z</dcterms:modified>
</cp:coreProperties>
</file>